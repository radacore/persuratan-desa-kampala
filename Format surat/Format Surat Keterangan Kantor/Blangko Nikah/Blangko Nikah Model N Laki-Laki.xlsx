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ormat Surat Keterangan Kantor\Blangko Nikah\"/>
    </mc:Choice>
  </mc:AlternateContent>
  <xr:revisionPtr revIDLastSave="0" documentId="13_ncr:1_{A1D12B4E-621A-49D3-B90E-2B82D5EF43BB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INPUT" sheetId="2" r:id="rId1"/>
    <sheet name="N1" sheetId="1" r:id="rId2"/>
    <sheet name="N2" sheetId="10" r:id="rId3"/>
    <sheet name="N4" sheetId="5" r:id="rId4"/>
    <sheet name="N5" sheetId="7" r:id="rId5"/>
    <sheet name="Sheet3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0" l="1"/>
  <c r="M30" i="1"/>
  <c r="R12" i="10"/>
  <c r="I35" i="7"/>
  <c r="K17" i="1"/>
  <c r="M40" i="1"/>
  <c r="I22" i="7"/>
  <c r="M43" i="1"/>
  <c r="J19" i="5" l="1"/>
  <c r="H22" i="10" l="1"/>
  <c r="M48" i="1"/>
  <c r="M47" i="1"/>
  <c r="M46" i="1"/>
  <c r="M45" i="1"/>
  <c r="M44" i="1"/>
  <c r="M42" i="1"/>
  <c r="M39" i="1"/>
  <c r="M38" i="1"/>
  <c r="M37" i="1"/>
  <c r="M36" i="1"/>
  <c r="M35" i="1"/>
  <c r="M34" i="1"/>
  <c r="M27" i="1" l="1"/>
  <c r="M26" i="1"/>
  <c r="M25" i="1"/>
  <c r="M24" i="1"/>
  <c r="M21" i="1"/>
  <c r="M23" i="1"/>
  <c r="M22" i="1"/>
  <c r="M20" i="1"/>
  <c r="N22" i="10"/>
  <c r="J22" i="10"/>
  <c r="H21" i="10"/>
  <c r="H20" i="10"/>
  <c r="J56" i="7"/>
  <c r="I51" i="7"/>
  <c r="I50" i="7"/>
  <c r="I49" i="7"/>
  <c r="I48" i="7"/>
  <c r="I46" i="7"/>
  <c r="I47" i="7"/>
  <c r="I45" i="7"/>
  <c r="I44" i="7"/>
  <c r="I41" i="7"/>
  <c r="I40" i="7"/>
  <c r="I39" i="7"/>
  <c r="I38" i="7"/>
  <c r="I36" i="7"/>
  <c r="I37" i="7"/>
  <c r="I34" i="7"/>
  <c r="I31" i="7"/>
  <c r="I30" i="7"/>
  <c r="I29" i="7"/>
  <c r="I28" i="7"/>
  <c r="I26" i="7"/>
  <c r="I27" i="7"/>
  <c r="I25" i="7"/>
  <c r="I24" i="7"/>
  <c r="I21" i="7"/>
  <c r="I20" i="7"/>
  <c r="I19" i="7"/>
  <c r="I17" i="7"/>
  <c r="I18" i="7"/>
  <c r="I16" i="7"/>
  <c r="I15" i="7"/>
  <c r="D62" i="7" s="1"/>
  <c r="J26" i="5"/>
  <c r="J46" i="5" s="1"/>
  <c r="K40" i="5"/>
  <c r="J33" i="5"/>
  <c r="J32" i="5"/>
  <c r="J31" i="5"/>
  <c r="J30" i="5"/>
  <c r="J28" i="5"/>
  <c r="J29" i="5"/>
  <c r="J27" i="5"/>
  <c r="J23" i="5"/>
  <c r="J22" i="5"/>
  <c r="J21" i="5"/>
  <c r="J20" i="5"/>
  <c r="J18" i="5"/>
  <c r="J17" i="5"/>
  <c r="J16" i="5"/>
  <c r="E46" i="5" s="1"/>
  <c r="O53" i="1"/>
  <c r="M32" i="1"/>
  <c r="M31" i="1"/>
  <c r="I62" i="7" l="1"/>
</calcChain>
</file>

<file path=xl/sharedStrings.xml><?xml version="1.0" encoding="utf-8"?>
<sst xmlns="http://schemas.openxmlformats.org/spreadsheetml/2006/main" count="501" uniqueCount="169">
  <si>
    <t>KANTOR DESA</t>
  </si>
  <si>
    <t>:</t>
  </si>
  <si>
    <t>KAMPALA</t>
  </si>
  <si>
    <t>KECAMATAN</t>
  </si>
  <si>
    <t>ARUNGKEKE</t>
  </si>
  <si>
    <t>KABUPATEN</t>
  </si>
  <si>
    <t>JENEPONTO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</si>
  <si>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</si>
  <si>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</si>
  <si>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</si>
  <si>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</si>
  <si>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</si>
  <si>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</si>
  <si>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</si>
  <si>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</si>
  <si>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</si>
  <si>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Nama lengkap dan alias</t>
  </si>
  <si>
    <t>Bin/Binti</t>
  </si>
  <si>
    <t>Jenis Kelamin</t>
  </si>
  <si>
    <t>Tempat  dan tanggal lahir</t>
  </si>
  <si>
    <t>Nomor Induk Kependudukan (NIK)</t>
  </si>
  <si>
    <t>Warga Negara</t>
  </si>
  <si>
    <t>Agama</t>
  </si>
  <si>
    <t>Pendidikan</t>
  </si>
  <si>
    <t>Pekerjaan</t>
  </si>
  <si>
    <t>10.</t>
  </si>
  <si>
    <t>Tempat tinggal</t>
  </si>
  <si>
    <t>Status perkawinan</t>
  </si>
  <si>
    <t>a.</t>
  </si>
  <si>
    <t xml:space="preserve">duda atau beristri dan </t>
  </si>
  <si>
    <t>berapa isterinya.</t>
  </si>
  <si>
    <t xml:space="preserve">Jika Pria, terangkan jejaka, </t>
  </si>
  <si>
    <t>b.</t>
  </si>
  <si>
    <t>Jika wanita, terangkan</t>
  </si>
  <si>
    <t>perawan atau janda</t>
  </si>
  <si>
    <t xml:space="preserve">Nama isteri/suami terdahulu </t>
  </si>
  <si>
    <t>Kampala ,</t>
  </si>
  <si>
    <t>a/n Kepala Desa Kampala</t>
  </si>
  <si>
    <t>Nomor :</t>
  </si>
  <si>
    <t>Model N-2</t>
  </si>
  <si>
    <t>Model N-1</t>
  </si>
  <si>
    <t>Calon Suami</t>
  </si>
  <si>
    <t>I.</t>
  </si>
  <si>
    <t>II.</t>
  </si>
  <si>
    <t>Calon Istri</t>
  </si>
  <si>
    <t>Demikian surat persetujuan ini di buat untuk digunakan seperlunya.</t>
  </si>
  <si>
    <t xml:space="preserve">   II. Calon Isteri</t>
  </si>
  <si>
    <t>I. Calon Suami</t>
  </si>
  <si>
    <t>Model N-4</t>
  </si>
  <si>
    <t>Yang bertanda tangan di bawah ini  :</t>
  </si>
  <si>
    <t>telah meninggal dunia pada tanggal</t>
  </si>
  <si>
    <t>di</t>
  </si>
  <si>
    <t xml:space="preserve">  Kampala ,</t>
  </si>
  <si>
    <t xml:space="preserve">DATA PENGANTIN </t>
  </si>
  <si>
    <t>DATA ORANG TUA</t>
  </si>
  <si>
    <t>BAPAK</t>
  </si>
  <si>
    <t>IBU</t>
  </si>
  <si>
    <t>KETERANGAN KEMATIAN</t>
  </si>
  <si>
    <t>-</t>
  </si>
  <si>
    <t>Kepada Yth,</t>
  </si>
  <si>
    <t xml:space="preserve">Di_ </t>
  </si>
  <si>
    <t>Bersama ini kami lampirkan surat-surat yang diperlukan untuk diperiksa sebagai berikut :</t>
  </si>
  <si>
    <t>Yang menerima,</t>
  </si>
  <si>
    <t>Hari Nikah</t>
  </si>
  <si>
    <t>Tanggal Nikah</t>
  </si>
  <si>
    <t>NO. Reg</t>
  </si>
  <si>
    <t>Tanggal. Reg</t>
  </si>
  <si>
    <t>Maskawin</t>
  </si>
  <si>
    <t>Indonesia</t>
  </si>
  <si>
    <t>Islam</t>
  </si>
  <si>
    <t>--</t>
  </si>
  <si>
    <r>
      <rPr>
        <b/>
        <sz val="11"/>
        <color theme="1"/>
        <rFont val="Times New Roman"/>
        <family val="1"/>
      </rPr>
      <t xml:space="preserve">      </t>
    </r>
    <r>
      <rPr>
        <b/>
        <u/>
        <sz val="11"/>
        <color theme="1"/>
        <rFont val="Times New Roman"/>
        <family val="1"/>
      </rPr>
      <t>BAHTIAR.B</t>
    </r>
  </si>
  <si>
    <t>I. Ayah/Wali</t>
  </si>
  <si>
    <t>II. Ibu/Wali</t>
  </si>
  <si>
    <t>Demikian surat keterangan ini dibuat dengan kesadaran tanpa ada paksaan dari siapapun juga dan untuk</t>
  </si>
  <si>
    <t>dipergunakan seperlunya</t>
  </si>
  <si>
    <t xml:space="preserve">Nama </t>
  </si>
  <si>
    <t>Kewarganegaraan</t>
  </si>
  <si>
    <t>Alamat</t>
  </si>
  <si>
    <t>Adalah benar-benar anak dari perkawinan seorang pria :</t>
  </si>
  <si>
    <t xml:space="preserve">Demikianlah, surat pengantar ini dibuat dengan mengingat sumpah jabatan dan untuk digunakan untuk </t>
  </si>
  <si>
    <t>dipergunakan sebagaimana mestinya</t>
  </si>
  <si>
    <t>Perihal</t>
  </si>
  <si>
    <t>Kepala KUA Kecamatan Arungkeke</t>
  </si>
  <si>
    <t>Tempat</t>
  </si>
  <si>
    <t>Jam</t>
  </si>
  <si>
    <t xml:space="preserve">                                 *)</t>
  </si>
  <si>
    <t>Wassalam</t>
  </si>
  <si>
    <t>Pemohon</t>
  </si>
  <si>
    <t xml:space="preserve">                                       *)</t>
  </si>
  <si>
    <t>dengan ketentuan peraturan perundang-undangan</t>
  </si>
  <si>
    <t xml:space="preserve">      Demikian permohonan ini kami sampaikan, kiranya dapat diperiksa, dihadiri dan dicatat sesuai</t>
  </si>
  <si>
    <t xml:space="preserve">Diterima tanggal,………………... </t>
  </si>
  <si>
    <t>Kepala KUA/Penghulu</t>
  </si>
  <si>
    <t>Persetujuan Calon Mempelai</t>
  </si>
  <si>
    <t>Fotokopi KTP</t>
  </si>
  <si>
    <t>Fotokopi Akte Kelahiran</t>
  </si>
  <si>
    <t>Fotokopi Kartu Keluarga</t>
  </si>
  <si>
    <t>Bin</t>
  </si>
  <si>
    <t>Binti</t>
  </si>
  <si>
    <t>Menyatakan dengan sesungguhnya bahwa atas dasar sukarela, dengan kesadaran sendiri, tanpa</t>
  </si>
  <si>
    <t>A.</t>
  </si>
  <si>
    <t>B.</t>
  </si>
  <si>
    <t>LAKI-LAKI</t>
  </si>
  <si>
    <t>CALON ISTRI</t>
  </si>
  <si>
    <t>ISTRI</t>
  </si>
  <si>
    <t>Laki-Laki</t>
  </si>
  <si>
    <t xml:space="preserve"> </t>
  </si>
  <si>
    <t>LAMPIRAN V</t>
  </si>
  <si>
    <t>KEPUTUSAN DIREKTUR JENDERAL BIMBINGAN MASYARAKAT ISLAM</t>
  </si>
  <si>
    <t>NOMOR 473 TAHUN 2020</t>
  </si>
  <si>
    <t>TENTANG</t>
  </si>
  <si>
    <t>PETUNJUK TEKNIS PELAKSANAAN PENCATATAN PERNIKAHAN</t>
  </si>
  <si>
    <t>PENGANTAR NIKAH</t>
  </si>
  <si>
    <t>FORMULIR PENGANTAR NIKAH</t>
  </si>
  <si>
    <t>Yang bertanda tangan di bawah ini menjelaskan dengan sesungguhnya bahwa :</t>
  </si>
  <si>
    <t>Laki-Laki : Jejaka, Duda</t>
  </si>
  <si>
    <t>atau beristeri ke : ……….</t>
  </si>
  <si>
    <t>Perempuan : Perawan, Janda</t>
  </si>
  <si>
    <t>dengan seorang wanita :</t>
  </si>
  <si>
    <t>FORMULIR PERMOHONAN KEHENDAK NIKAH</t>
  </si>
  <si>
    <t>Kampala</t>
  </si>
  <si>
    <t>Dengan hormat, kami mengajukan kehendak nikah untuk atas nama :</t>
  </si>
  <si>
    <t xml:space="preserve">Calon suami </t>
  </si>
  <si>
    <t xml:space="preserve">Calon isteri </t>
  </si>
  <si>
    <t>Hari/Tanggal/Jam</t>
  </si>
  <si>
    <t>Tempat akad nikah</t>
  </si>
  <si>
    <t>tanggal,</t>
  </si>
  <si>
    <t>Tempat akad</t>
  </si>
  <si>
    <t>Surat Pengantar Nikah dari Desa</t>
  </si>
  <si>
    <t>Pas Foto ukuran 2x3 : 4 lembar</t>
  </si>
  <si>
    <t>Permohonan Kehendak Nikah</t>
  </si>
  <si>
    <t>FORMULIR PERSETUJUAN CALON PENGANTIN</t>
  </si>
  <si>
    <t>PERSETUJUAN CALON PENGANTIN</t>
  </si>
  <si>
    <t>paksaan dari siapapun juga, setuju untuk melangsungkan pernikahan.</t>
  </si>
  <si>
    <t>FORMULIR SURAT IZIN ORANG TUA</t>
  </si>
  <si>
    <t>SURAT IZIN ORANG TUA</t>
  </si>
  <si>
    <t>Adalah ayah dan ibu kandung/wali/pengampu dari  :</t>
  </si>
  <si>
    <t>Memberikan izin kepada anak kami untuk melakukan pernikahan dengan :</t>
  </si>
  <si>
    <t xml:space="preserve">      (Sekretaris Desa)</t>
  </si>
  <si>
    <t>SLTA/Sederajat</t>
  </si>
  <si>
    <t>Perjaka</t>
  </si>
  <si>
    <t>Belum/Tidak Bekerja</t>
  </si>
  <si>
    <t>432/DKP/VIII/2026</t>
  </si>
  <si>
    <t>Sabtu</t>
  </si>
  <si>
    <t xml:space="preserve">Jln.Tembakau </t>
  </si>
  <si>
    <t>Muh.Israh</t>
  </si>
  <si>
    <t>Djahuddin</t>
  </si>
  <si>
    <t>7304092802980001</t>
  </si>
  <si>
    <t>Pelajar/Mahasiswa</t>
  </si>
  <si>
    <t>Buntulu Desa Kampala</t>
  </si>
  <si>
    <t>Djahuddin, SE.Sy</t>
  </si>
  <si>
    <t xml:space="preserve">Ku Lang </t>
  </si>
  <si>
    <t>Jeneponto, 28 Februari 1998</t>
  </si>
  <si>
    <t>Buntulu, 21 Januari 1973</t>
  </si>
  <si>
    <t>7304092101730001</t>
  </si>
  <si>
    <t xml:space="preserve">Indonesia </t>
  </si>
  <si>
    <t>IRT</t>
  </si>
  <si>
    <t>Sukmawati</t>
  </si>
  <si>
    <t>Nusi</t>
  </si>
  <si>
    <t>Borong Bilalang</t>
  </si>
  <si>
    <t>7304094107750008</t>
  </si>
  <si>
    <t>PNS</t>
  </si>
  <si>
    <t>Niken Johanni Syufitri.J</t>
  </si>
  <si>
    <t>Ali Johan</t>
  </si>
  <si>
    <t>Jeneponto, 01 Juli 2000</t>
  </si>
  <si>
    <t>Diploma IV/Strata I</t>
  </si>
  <si>
    <t>Jl. Tembakau No.4 Bontosunggu Desa/Kelurahan Empoang Kec.Binamu</t>
  </si>
  <si>
    <t>7304034107000016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</si>
</sst>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h:mm:ss;@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slantDashDot">
        <color theme="3" tint="0.39994506668294322"/>
      </left>
      <right/>
      <top style="slantDashDot">
        <color theme="3" tint="0.39994506668294322"/>
      </top>
      <bottom/>
      <diagonal/>
    </border>
    <border>
      <left/>
      <right/>
      <top style="slantDashDot">
        <color theme="3" tint="0.39994506668294322"/>
      </top>
      <bottom/>
      <diagonal/>
    </border>
    <border>
      <left/>
      <right style="slantDashDot">
        <color theme="3" tint="0.39994506668294322"/>
      </right>
      <top style="slantDashDot">
        <color theme="3" tint="0.39994506668294322"/>
      </top>
      <bottom/>
      <diagonal/>
    </border>
    <border>
      <left style="slantDashDot">
        <color theme="3" tint="0.39994506668294322"/>
      </left>
      <right/>
      <top/>
      <bottom/>
      <diagonal/>
    </border>
    <border>
      <left/>
      <right style="slantDashDot">
        <color theme="3" tint="0.39994506668294322"/>
      </right>
      <top/>
      <bottom/>
      <diagonal/>
    </border>
    <border>
      <left style="slantDashDot">
        <color theme="3" tint="0.39994506668294322"/>
      </left>
      <right/>
      <top/>
      <bottom style="slantDashDot">
        <color theme="3" tint="0.39994506668294322"/>
      </bottom>
      <diagonal/>
    </border>
    <border>
      <left/>
      <right/>
      <top/>
      <bottom style="slantDashDot">
        <color theme="3" tint="0.39994506668294322"/>
      </bottom>
      <diagonal/>
    </border>
    <border>
      <left/>
      <right style="slantDashDot">
        <color theme="3" tint="0.39994506668294322"/>
      </right>
      <top/>
      <bottom style="slantDashDot">
        <color theme="3" tint="0.39994506668294322"/>
      </bottom>
      <diagonal/>
    </border>
    <border>
      <left/>
      <right/>
      <top style="slantDashDot">
        <color theme="3" tint="0.39991454817346722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1" fillId="0" borderId="0" xfId="0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/>
    <xf numFmtId="0" fontId="2" fillId="5" borderId="0" xfId="0" applyFont="1" applyFill="1"/>
    <xf numFmtId="0" fontId="2" fillId="5" borderId="5" xfId="0" applyFont="1" applyFill="1" applyBorder="1"/>
    <xf numFmtId="0" fontId="2" fillId="0" borderId="6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9" borderId="10" xfId="0" applyFont="1" applyFill="1" applyBorder="1"/>
    <xf numFmtId="0" fontId="2" fillId="9" borderId="11" xfId="0" applyFont="1" applyFill="1" applyBorder="1"/>
    <xf numFmtId="0" fontId="3" fillId="9" borderId="11" xfId="0" applyFont="1" applyFill="1" applyBorder="1" applyAlignment="1">
      <alignment horizontal="center"/>
    </xf>
    <xf numFmtId="0" fontId="2" fillId="9" borderId="12" xfId="0" applyFont="1" applyFill="1" applyBorder="1"/>
    <xf numFmtId="0" fontId="3" fillId="9" borderId="13" xfId="0" applyFont="1" applyFill="1" applyBorder="1"/>
    <xf numFmtId="0" fontId="2" fillId="9" borderId="14" xfId="0" applyFont="1" applyFill="1" applyBorder="1"/>
    <xf numFmtId="0" fontId="3" fillId="9" borderId="14" xfId="0" applyFont="1" applyFill="1" applyBorder="1" applyAlignment="1">
      <alignment horizontal="center"/>
    </xf>
    <xf numFmtId="164" fontId="2" fillId="9" borderId="14" xfId="0" applyNumberFormat="1" applyFont="1" applyFill="1" applyBorder="1" applyAlignment="1">
      <alignment horizontal="left"/>
    </xf>
    <xf numFmtId="0" fontId="2" fillId="9" borderId="15" xfId="0" applyFont="1" applyFill="1" applyBorder="1"/>
    <xf numFmtId="0" fontId="3" fillId="2" borderId="13" xfId="0" applyFont="1" applyFill="1" applyBorder="1"/>
    <xf numFmtId="0" fontId="2" fillId="2" borderId="14" xfId="0" applyFont="1" applyFill="1" applyBorder="1"/>
    <xf numFmtId="0" fontId="3" fillId="2" borderId="14" xfId="0" applyFont="1" applyFill="1" applyBorder="1" applyAlignment="1">
      <alignment horizontal="center"/>
    </xf>
    <xf numFmtId="164" fontId="2" fillId="2" borderId="14" xfId="0" applyNumberFormat="1" applyFont="1" applyFill="1" applyBorder="1" applyAlignment="1">
      <alignment horizontal="left"/>
    </xf>
    <xf numFmtId="0" fontId="2" fillId="2" borderId="15" xfId="0" applyFont="1" applyFill="1" applyBorder="1"/>
    <xf numFmtId="0" fontId="3" fillId="8" borderId="13" xfId="0" applyFont="1" applyFill="1" applyBorder="1"/>
    <xf numFmtId="0" fontId="2" fillId="8" borderId="14" xfId="0" applyFont="1" applyFill="1" applyBorder="1"/>
    <xf numFmtId="0" fontId="3" fillId="8" borderId="14" xfId="0" applyFont="1" applyFill="1" applyBorder="1" applyAlignment="1">
      <alignment horizontal="center"/>
    </xf>
    <xf numFmtId="0" fontId="2" fillId="8" borderId="15" xfId="0" applyFont="1" applyFill="1" applyBorder="1"/>
    <xf numFmtId="0" fontId="3" fillId="8" borderId="16" xfId="0" applyFont="1" applyFill="1" applyBorder="1"/>
    <xf numFmtId="0" fontId="2" fillId="8" borderId="17" xfId="0" applyFont="1" applyFill="1" applyBorder="1"/>
    <xf numFmtId="0" fontId="3" fillId="8" borderId="17" xfId="0" applyFont="1" applyFill="1" applyBorder="1" applyAlignment="1">
      <alignment horizontal="center"/>
    </xf>
    <xf numFmtId="164" fontId="2" fillId="8" borderId="17" xfId="0" applyNumberFormat="1" applyFont="1" applyFill="1" applyBorder="1" applyAlignment="1">
      <alignment horizontal="left"/>
    </xf>
    <xf numFmtId="0" fontId="2" fillId="8" borderId="18" xfId="0" applyFont="1" applyFill="1" applyBorder="1"/>
    <xf numFmtId="0" fontId="2" fillId="0" borderId="5" xfId="0" quotePrefix="1" applyFont="1" applyBorder="1"/>
    <xf numFmtId="164" fontId="2" fillId="0" borderId="5" xfId="0" applyNumberFormat="1" applyFont="1" applyBorder="1" applyAlignment="1">
      <alignment horizontal="left"/>
    </xf>
    <xf numFmtId="16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6" fillId="0" borderId="0" xfId="0" applyFont="1"/>
    <xf numFmtId="0" fontId="3" fillId="0" borderId="0" xfId="0" applyFont="1"/>
    <xf numFmtId="0" fontId="2" fillId="0" borderId="9" xfId="0" applyFont="1" applyBorder="1"/>
    <xf numFmtId="0" fontId="7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3" fillId="0" borderId="23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0" fontId="3" fillId="0" borderId="23" xfId="0" applyFont="1" applyBorder="1"/>
    <xf numFmtId="0" fontId="8" fillId="0" borderId="23" xfId="0" applyFont="1" applyBorder="1"/>
    <xf numFmtId="0" fontId="2" fillId="0" borderId="27" xfId="0" applyFont="1" applyBorder="1"/>
    <xf numFmtId="20" fontId="2" fillId="8" borderId="14" xfId="0" quotePrefix="1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/>
    <xf numFmtId="165" fontId="8" fillId="0" borderId="0" xfId="0" applyNumberFormat="1" applyFont="1"/>
    <xf numFmtId="0" fontId="3" fillId="8" borderId="28" xfId="0" applyFont="1" applyFill="1" applyBorder="1"/>
    <xf numFmtId="0" fontId="2" fillId="8" borderId="29" xfId="0" applyFont="1" applyFill="1" applyBorder="1"/>
    <xf numFmtId="0" fontId="3" fillId="8" borderId="29" xfId="0" applyFont="1" applyFill="1" applyBorder="1" applyAlignment="1">
      <alignment horizontal="center"/>
    </xf>
    <xf numFmtId="20" fontId="2" fillId="8" borderId="29" xfId="0" quotePrefix="1" applyNumberFormat="1" applyFont="1" applyFill="1" applyBorder="1" applyAlignment="1">
      <alignment horizontal="left"/>
    </xf>
    <xf numFmtId="0" fontId="2" fillId="8" borderId="30" xfId="0" applyFont="1" applyFill="1" applyBorder="1"/>
    <xf numFmtId="0" fontId="10" fillId="0" borderId="0" xfId="0" applyFont="1" applyAlignment="1">
      <alignment horizontal="left"/>
    </xf>
    <xf numFmtId="0" fontId="10" fillId="0" borderId="0" xfId="0" applyFont="1"/>
    <xf numFmtId="0" fontId="7" fillId="0" borderId="23" xfId="0" applyFont="1" applyBorder="1"/>
    <xf numFmtId="20" fontId="12" fillId="0" borderId="0" xfId="0" applyNumberFormat="1" applyFont="1" applyAlignment="1">
      <alignment vertical="top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3" fillId="5" borderId="0" xfId="0" applyFont="1" applyFill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2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Y36"/>
  <sheetViews>
    <sheetView workbookViewId="0">
      <selection activeCell="Q18" sqref="Q18"/>
    </sheetView>
  </sheetViews>
  <sheetFormatPr defaultRowHeight="15" x14ac:dyDescent="0.25"/>
  <cols>
    <col min="1" max="1" width="3.5703125" style="1" customWidth="1"/>
    <col min="2" max="2" width="4.140625" style="1" customWidth="1"/>
    <col min="3" max="3" width="2.7109375" style="1" customWidth="1"/>
    <col min="4" max="4" width="8.7109375" style="1" customWidth="1"/>
    <col min="5" max="5" width="2.140625" style="1" customWidth="1"/>
    <col min="6" max="6" width="17.28515625" style="1" customWidth="1"/>
    <col min="7" max="7" width="10.5703125" style="1" customWidth="1"/>
    <col min="8" max="8" width="2.28515625" style="1" customWidth="1"/>
    <col min="9" max="9" width="33.28515625" style="1" customWidth="1"/>
    <col min="10" max="10" width="3.42578125" style="1" customWidth="1"/>
    <col min="11" max="11" width="4" style="1" customWidth="1"/>
    <col min="12" max="14" width="9.140625" style="1"/>
    <col min="15" max="15" width="5.42578125" style="1" customWidth="1"/>
    <col min="16" max="16" width="2.140625" style="1" customWidth="1"/>
    <col min="17" max="17" width="34.28515625" style="1" customWidth="1"/>
    <col min="18" max="18" width="4.28515625" style="1" customWidth="1"/>
    <col min="19" max="19" width="3.85546875" style="1" customWidth="1"/>
    <col min="20" max="22" width="9.140625" style="1"/>
    <col min="23" max="23" width="5.42578125" style="1" customWidth="1"/>
    <col min="24" max="24" width="2" style="1" customWidth="1"/>
    <col min="25" max="25" width="62.28515625" style="1" customWidth="1"/>
    <col min="26" max="16384" width="9.140625" style="1"/>
  </cols>
  <sheetData>
    <row r="2" spans="2:25" x14ac:dyDescent="0.25">
      <c r="B2" s="22" t="s">
        <v>65</v>
      </c>
      <c r="C2" s="23"/>
      <c r="D2" s="24"/>
      <c r="E2" s="24" t="s">
        <v>1</v>
      </c>
      <c r="F2" s="23" t="s">
        <v>143</v>
      </c>
      <c r="G2" s="25"/>
    </row>
    <row r="3" spans="2:25" x14ac:dyDescent="0.25">
      <c r="B3" s="26" t="s">
        <v>66</v>
      </c>
      <c r="C3" s="27"/>
      <c r="D3" s="28"/>
      <c r="E3" s="28" t="s">
        <v>1</v>
      </c>
      <c r="F3" s="29">
        <v>46265</v>
      </c>
      <c r="G3" s="30"/>
    </row>
    <row r="4" spans="2:25" x14ac:dyDescent="0.25">
      <c r="B4" s="31" t="s">
        <v>63</v>
      </c>
      <c r="C4" s="32"/>
      <c r="D4" s="33"/>
      <c r="E4" s="33" t="s">
        <v>1</v>
      </c>
      <c r="F4" s="34" t="s">
        <v>144</v>
      </c>
      <c r="G4" s="35"/>
    </row>
    <row r="5" spans="2:25" x14ac:dyDescent="0.25">
      <c r="B5" s="31" t="s">
        <v>64</v>
      </c>
      <c r="C5" s="32"/>
      <c r="D5" s="33"/>
      <c r="E5" s="33" t="s">
        <v>1</v>
      </c>
      <c r="F5" s="34">
        <v>46284</v>
      </c>
      <c r="G5" s="35"/>
    </row>
    <row r="6" spans="2:25" x14ac:dyDescent="0.25">
      <c r="B6" s="36" t="s">
        <v>85</v>
      </c>
      <c r="C6" s="37"/>
      <c r="D6" s="38"/>
      <c r="E6" s="38" t="s">
        <v>1</v>
      </c>
      <c r="F6" s="71"/>
      <c r="G6" s="39"/>
    </row>
    <row r="7" spans="2:25" x14ac:dyDescent="0.25">
      <c r="B7" s="75" t="s">
        <v>128</v>
      </c>
      <c r="C7" s="76"/>
      <c r="D7" s="77"/>
      <c r="E7" s="38" t="s">
        <v>1</v>
      </c>
      <c r="F7" s="78" t="s">
        <v>145</v>
      </c>
      <c r="G7" s="79"/>
    </row>
    <row r="8" spans="2:25" x14ac:dyDescent="0.25">
      <c r="B8" s="40" t="s">
        <v>67</v>
      </c>
      <c r="C8" s="41"/>
      <c r="D8" s="42"/>
      <c r="E8" s="42" t="s">
        <v>1</v>
      </c>
      <c r="F8" s="43"/>
      <c r="G8" s="44"/>
    </row>
    <row r="10" spans="2:25" ht="15.75" x14ac:dyDescent="0.25">
      <c r="B10" s="100" t="s">
        <v>53</v>
      </c>
      <c r="C10" s="101"/>
      <c r="D10" s="101"/>
      <c r="E10" s="101"/>
      <c r="F10" s="101"/>
      <c r="G10" s="101"/>
      <c r="H10" s="101"/>
      <c r="I10" s="102"/>
      <c r="K10" s="91" t="s">
        <v>54</v>
      </c>
      <c r="L10" s="92"/>
      <c r="M10" s="92"/>
      <c r="N10" s="92"/>
      <c r="O10" s="92"/>
      <c r="P10" s="92"/>
      <c r="Q10" s="93"/>
      <c r="S10" s="100" t="s">
        <v>53</v>
      </c>
      <c r="T10" s="101"/>
      <c r="U10" s="101"/>
      <c r="V10" s="101"/>
      <c r="W10" s="101"/>
      <c r="X10" s="101"/>
      <c r="Y10" s="102"/>
    </row>
    <row r="11" spans="2:25" x14ac:dyDescent="0.25">
      <c r="B11" s="94" t="s">
        <v>103</v>
      </c>
      <c r="C11" s="95"/>
      <c r="D11" s="95"/>
      <c r="E11" s="95"/>
      <c r="F11" s="95"/>
      <c r="G11" s="95"/>
      <c r="H11" s="95"/>
      <c r="I11" s="96"/>
      <c r="K11" s="12" t="s">
        <v>42</v>
      </c>
      <c r="L11" s="103" t="s">
        <v>55</v>
      </c>
      <c r="M11" s="103"/>
      <c r="N11" s="14"/>
      <c r="O11" s="14"/>
      <c r="P11" s="14"/>
      <c r="Q11" s="15"/>
      <c r="S11" s="94" t="s">
        <v>104</v>
      </c>
      <c r="T11" s="95"/>
      <c r="U11" s="95"/>
      <c r="V11" s="95"/>
      <c r="W11" s="95"/>
      <c r="X11" s="95"/>
      <c r="Y11" s="96"/>
    </row>
    <row r="12" spans="2:25" x14ac:dyDescent="0.25">
      <c r="B12" s="16">
        <v>1</v>
      </c>
      <c r="C12" s="1" t="s">
        <v>16</v>
      </c>
      <c r="H12" s="10" t="s">
        <v>1</v>
      </c>
      <c r="I12" s="3" t="s">
        <v>146</v>
      </c>
      <c r="K12" s="16">
        <v>1</v>
      </c>
      <c r="L12" s="1" t="s">
        <v>16</v>
      </c>
      <c r="P12" s="10" t="s">
        <v>1</v>
      </c>
      <c r="Q12" s="3" t="s">
        <v>151</v>
      </c>
      <c r="S12" s="16">
        <v>1</v>
      </c>
      <c r="T12" s="1" t="s">
        <v>16</v>
      </c>
      <c r="X12" s="10" t="s">
        <v>1</v>
      </c>
      <c r="Y12" s="3" t="s">
        <v>163</v>
      </c>
    </row>
    <row r="13" spans="2:25" x14ac:dyDescent="0.25">
      <c r="B13" s="16">
        <v>2</v>
      </c>
      <c r="C13" s="1" t="s">
        <v>98</v>
      </c>
      <c r="H13" s="10" t="s">
        <v>1</v>
      </c>
      <c r="I13" s="3" t="s">
        <v>147</v>
      </c>
      <c r="K13" s="16">
        <v>2</v>
      </c>
      <c r="L13" s="1" t="s">
        <v>98</v>
      </c>
      <c r="P13" s="10" t="s">
        <v>1</v>
      </c>
      <c r="Q13" s="3" t="s">
        <v>152</v>
      </c>
      <c r="S13" s="16">
        <v>2</v>
      </c>
      <c r="T13" s="1" t="s">
        <v>99</v>
      </c>
      <c r="X13" s="10" t="s">
        <v>1</v>
      </c>
      <c r="Y13" s="3" t="s">
        <v>164</v>
      </c>
    </row>
    <row r="14" spans="2:25" x14ac:dyDescent="0.25">
      <c r="B14" s="16">
        <v>3</v>
      </c>
      <c r="C14" s="1" t="s">
        <v>18</v>
      </c>
      <c r="H14" s="10" t="s">
        <v>1</v>
      </c>
      <c r="I14" s="3" t="s">
        <v>106</v>
      </c>
      <c r="K14" s="16">
        <v>3</v>
      </c>
      <c r="L14" s="1" t="s">
        <v>19</v>
      </c>
      <c r="P14" s="10" t="s">
        <v>1</v>
      </c>
      <c r="Q14" s="3" t="s">
        <v>154</v>
      </c>
      <c r="S14" s="16">
        <v>3</v>
      </c>
      <c r="T14" s="1" t="s">
        <v>19</v>
      </c>
      <c r="X14" s="10" t="s">
        <v>1</v>
      </c>
      <c r="Y14" s="3" t="s">
        <v>165</v>
      </c>
    </row>
    <row r="15" spans="2:25" x14ac:dyDescent="0.25">
      <c r="B15" s="16">
        <v>4</v>
      </c>
      <c r="C15" s="1" t="s">
        <v>19</v>
      </c>
      <c r="H15" s="10" t="s">
        <v>1</v>
      </c>
      <c r="I15" s="3" t="s">
        <v>153</v>
      </c>
      <c r="K15" s="16">
        <v>4</v>
      </c>
      <c r="L15" s="1" t="s">
        <v>20</v>
      </c>
      <c r="P15" s="10" t="s">
        <v>1</v>
      </c>
      <c r="Q15" s="45" t="s">
        <v>155</v>
      </c>
      <c r="S15" s="16">
        <v>4</v>
      </c>
      <c r="T15" s="1" t="s">
        <v>20</v>
      </c>
      <c r="X15" s="10" t="s">
        <v>1</v>
      </c>
      <c r="Y15" s="45" t="s">
        <v>168</v>
      </c>
    </row>
    <row r="16" spans="2:25" x14ac:dyDescent="0.25">
      <c r="B16" s="16">
        <v>5</v>
      </c>
      <c r="C16" s="1" t="s">
        <v>20</v>
      </c>
      <c r="H16" s="10" t="s">
        <v>1</v>
      </c>
      <c r="I16" s="45" t="s">
        <v>148</v>
      </c>
      <c r="K16" s="16">
        <v>5</v>
      </c>
      <c r="L16" s="1" t="s">
        <v>21</v>
      </c>
      <c r="P16" s="10" t="s">
        <v>1</v>
      </c>
      <c r="Q16" s="3" t="s">
        <v>156</v>
      </c>
      <c r="S16" s="16">
        <v>5</v>
      </c>
      <c r="T16" s="1" t="s">
        <v>21</v>
      </c>
      <c r="X16" s="10" t="s">
        <v>1</v>
      </c>
      <c r="Y16" s="3" t="s">
        <v>68</v>
      </c>
    </row>
    <row r="17" spans="2:25" x14ac:dyDescent="0.25">
      <c r="B17" s="16">
        <v>6</v>
      </c>
      <c r="C17" s="1" t="s">
        <v>21</v>
      </c>
      <c r="H17" s="10" t="s">
        <v>1</v>
      </c>
      <c r="I17" s="3" t="s">
        <v>68</v>
      </c>
      <c r="K17" s="16">
        <v>6</v>
      </c>
      <c r="L17" s="1" t="s">
        <v>22</v>
      </c>
      <c r="P17" s="10" t="s">
        <v>1</v>
      </c>
      <c r="Q17" s="3" t="s">
        <v>69</v>
      </c>
      <c r="S17" s="16">
        <v>6</v>
      </c>
      <c r="T17" s="1" t="s">
        <v>22</v>
      </c>
      <c r="X17" s="10" t="s">
        <v>1</v>
      </c>
      <c r="Y17" s="3" t="s">
        <v>69</v>
      </c>
    </row>
    <row r="18" spans="2:25" x14ac:dyDescent="0.25">
      <c r="B18" s="16">
        <v>7</v>
      </c>
      <c r="C18" s="1" t="s">
        <v>22</v>
      </c>
      <c r="H18" s="10" t="s">
        <v>1</v>
      </c>
      <c r="I18" s="3" t="s">
        <v>69</v>
      </c>
      <c r="K18" s="16">
        <v>7</v>
      </c>
      <c r="L18" s="1" t="s">
        <v>23</v>
      </c>
      <c r="P18" s="10" t="s">
        <v>1</v>
      </c>
      <c r="Q18" s="3" t="s">
        <v>140</v>
      </c>
      <c r="S18" s="16">
        <v>7</v>
      </c>
      <c r="T18" s="1" t="s">
        <v>23</v>
      </c>
      <c r="X18" s="10" t="s">
        <v>1</v>
      </c>
      <c r="Y18" s="3" t="s">
        <v>166</v>
      </c>
    </row>
    <row r="19" spans="2:25" x14ac:dyDescent="0.25">
      <c r="B19" s="16">
        <v>8</v>
      </c>
      <c r="C19" s="1" t="s">
        <v>23</v>
      </c>
      <c r="H19" s="10" t="s">
        <v>1</v>
      </c>
      <c r="I19" s="3" t="s">
        <v>140</v>
      </c>
      <c r="K19" s="16">
        <v>8</v>
      </c>
      <c r="L19" s="1" t="s">
        <v>24</v>
      </c>
      <c r="P19" s="10" t="s">
        <v>1</v>
      </c>
      <c r="Q19" s="3" t="s">
        <v>162</v>
      </c>
      <c r="S19" s="16">
        <v>8</v>
      </c>
      <c r="T19" s="1" t="s">
        <v>24</v>
      </c>
      <c r="X19" s="10" t="s">
        <v>1</v>
      </c>
      <c r="Y19" s="3" t="s">
        <v>142</v>
      </c>
    </row>
    <row r="20" spans="2:25" x14ac:dyDescent="0.25">
      <c r="B20" s="16">
        <v>9</v>
      </c>
      <c r="C20" s="1" t="s">
        <v>24</v>
      </c>
      <c r="H20" s="10" t="s">
        <v>1</v>
      </c>
      <c r="I20" s="3" t="s">
        <v>149</v>
      </c>
      <c r="K20" s="16">
        <v>9</v>
      </c>
      <c r="L20" s="1" t="s">
        <v>26</v>
      </c>
      <c r="P20" s="10" t="s">
        <v>1</v>
      </c>
      <c r="Q20" s="3" t="s">
        <v>150</v>
      </c>
      <c r="S20" s="16">
        <v>9</v>
      </c>
      <c r="T20" s="1" t="s">
        <v>26</v>
      </c>
      <c r="X20" s="10" t="s">
        <v>1</v>
      </c>
      <c r="Y20" s="104" t="s">
        <v>167</v>
      </c>
    </row>
    <row r="21" spans="2:25" x14ac:dyDescent="0.25">
      <c r="B21" s="16">
        <v>10</v>
      </c>
      <c r="C21" s="1" t="s">
        <v>26</v>
      </c>
      <c r="H21" s="10" t="s">
        <v>1</v>
      </c>
      <c r="I21" s="3" t="s">
        <v>150</v>
      </c>
      <c r="K21" s="2"/>
      <c r="S21" s="17"/>
      <c r="T21" s="6"/>
      <c r="U21" s="6"/>
      <c r="V21" s="6"/>
      <c r="W21" s="6"/>
      <c r="X21" s="6"/>
      <c r="Y21" s="105"/>
    </row>
    <row r="22" spans="2:25" x14ac:dyDescent="0.25">
      <c r="B22" s="16">
        <v>11</v>
      </c>
      <c r="C22" s="11" t="s">
        <v>27</v>
      </c>
      <c r="D22" s="11"/>
      <c r="I22" s="3"/>
      <c r="K22" s="13" t="s">
        <v>43</v>
      </c>
      <c r="L22" s="90" t="s">
        <v>56</v>
      </c>
      <c r="M22" s="90"/>
      <c r="N22" s="18"/>
      <c r="O22" s="18"/>
      <c r="P22" s="18"/>
      <c r="Q22" s="19"/>
    </row>
    <row r="23" spans="2:25" ht="15.75" x14ac:dyDescent="0.25">
      <c r="B23" s="16"/>
      <c r="C23" s="1" t="s">
        <v>28</v>
      </c>
      <c r="D23" s="1" t="s">
        <v>31</v>
      </c>
      <c r="I23" s="3"/>
      <c r="K23" s="16">
        <v>1</v>
      </c>
      <c r="L23" s="1" t="s">
        <v>16</v>
      </c>
      <c r="P23" s="10" t="s">
        <v>1</v>
      </c>
      <c r="Q23" s="3" t="s">
        <v>158</v>
      </c>
      <c r="S23" s="97" t="s">
        <v>57</v>
      </c>
      <c r="T23" s="98"/>
      <c r="U23" s="98"/>
      <c r="V23" s="98"/>
      <c r="W23" s="98"/>
      <c r="X23" s="98"/>
      <c r="Y23" s="99"/>
    </row>
    <row r="24" spans="2:25" x14ac:dyDescent="0.25">
      <c r="B24" s="16"/>
      <c r="D24" s="1" t="s">
        <v>29</v>
      </c>
      <c r="I24" s="3"/>
      <c r="K24" s="16">
        <v>2</v>
      </c>
      <c r="L24" s="1" t="s">
        <v>99</v>
      </c>
      <c r="P24" s="10" t="s">
        <v>1</v>
      </c>
      <c r="Q24" s="3" t="s">
        <v>159</v>
      </c>
      <c r="S24" s="94" t="s">
        <v>105</v>
      </c>
      <c r="T24" s="95"/>
      <c r="U24" s="95"/>
      <c r="V24" s="95"/>
      <c r="W24" s="95"/>
      <c r="X24" s="95"/>
      <c r="Y24" s="96"/>
    </row>
    <row r="25" spans="2:25" x14ac:dyDescent="0.25">
      <c r="B25" s="16"/>
      <c r="D25" s="1" t="s">
        <v>30</v>
      </c>
      <c r="H25" s="10" t="s">
        <v>1</v>
      </c>
      <c r="I25" s="3" t="s">
        <v>141</v>
      </c>
      <c r="K25" s="16">
        <v>3</v>
      </c>
      <c r="L25" s="1" t="s">
        <v>19</v>
      </c>
      <c r="P25" s="10" t="s">
        <v>1</v>
      </c>
      <c r="Q25" s="3" t="s">
        <v>160</v>
      </c>
      <c r="S25" s="16">
        <v>1</v>
      </c>
      <c r="T25" s="1" t="s">
        <v>16</v>
      </c>
      <c r="X25" s="10" t="s">
        <v>1</v>
      </c>
      <c r="Y25" s="3"/>
    </row>
    <row r="26" spans="2:25" x14ac:dyDescent="0.25">
      <c r="B26" s="16"/>
      <c r="C26" s="1" t="s">
        <v>32</v>
      </c>
      <c r="D26" s="1" t="s">
        <v>33</v>
      </c>
      <c r="H26" s="10"/>
      <c r="I26" s="3"/>
      <c r="K26" s="16">
        <v>4</v>
      </c>
      <c r="L26" s="1" t="s">
        <v>20</v>
      </c>
      <c r="P26" s="10" t="s">
        <v>1</v>
      </c>
      <c r="Q26" s="45" t="s">
        <v>161</v>
      </c>
      <c r="S26" s="16">
        <v>2</v>
      </c>
      <c r="T26" s="1" t="s">
        <v>17</v>
      </c>
      <c r="X26" s="10" t="s">
        <v>1</v>
      </c>
      <c r="Y26" s="3"/>
    </row>
    <row r="27" spans="2:25" x14ac:dyDescent="0.25">
      <c r="B27" s="16"/>
      <c r="D27" s="1" t="s">
        <v>34</v>
      </c>
      <c r="H27" s="10" t="s">
        <v>1</v>
      </c>
      <c r="I27" s="45" t="s">
        <v>70</v>
      </c>
      <c r="K27" s="16">
        <v>5</v>
      </c>
      <c r="L27" s="1" t="s">
        <v>21</v>
      </c>
      <c r="P27" s="10" t="s">
        <v>1</v>
      </c>
      <c r="Q27" s="3" t="s">
        <v>68</v>
      </c>
      <c r="S27" s="16">
        <v>3</v>
      </c>
      <c r="T27" s="1" t="s">
        <v>19</v>
      </c>
      <c r="X27" s="10" t="s">
        <v>1</v>
      </c>
      <c r="Y27" s="3"/>
    </row>
    <row r="28" spans="2:25" x14ac:dyDescent="0.25">
      <c r="B28" s="16">
        <v>12</v>
      </c>
      <c r="C28" s="1" t="s">
        <v>35</v>
      </c>
      <c r="H28" s="10" t="s">
        <v>1</v>
      </c>
      <c r="I28" s="45"/>
      <c r="K28" s="16">
        <v>6</v>
      </c>
      <c r="L28" s="1" t="s">
        <v>22</v>
      </c>
      <c r="P28" s="10" t="s">
        <v>1</v>
      </c>
      <c r="Q28" s="3" t="s">
        <v>69</v>
      </c>
      <c r="S28" s="16">
        <v>4</v>
      </c>
      <c r="T28" s="1" t="s">
        <v>20</v>
      </c>
      <c r="X28" s="10" t="s">
        <v>1</v>
      </c>
      <c r="Y28" s="45"/>
    </row>
    <row r="29" spans="2:25" x14ac:dyDescent="0.25">
      <c r="B29" s="20"/>
      <c r="C29" s="6"/>
      <c r="D29" s="6"/>
      <c r="E29" s="6"/>
      <c r="F29" s="6"/>
      <c r="G29" s="6"/>
      <c r="H29" s="6"/>
      <c r="I29" s="7"/>
      <c r="K29" s="16">
        <v>7</v>
      </c>
      <c r="L29" s="1" t="s">
        <v>23</v>
      </c>
      <c r="P29" s="10" t="s">
        <v>1</v>
      </c>
      <c r="Q29" s="3" t="s">
        <v>158</v>
      </c>
      <c r="S29" s="16">
        <v>5</v>
      </c>
      <c r="T29" s="1" t="s">
        <v>21</v>
      </c>
      <c r="X29" s="10" t="s">
        <v>1</v>
      </c>
      <c r="Y29" s="3"/>
    </row>
    <row r="30" spans="2:25" x14ac:dyDescent="0.25">
      <c r="K30" s="16">
        <v>8</v>
      </c>
      <c r="L30" s="1" t="s">
        <v>24</v>
      </c>
      <c r="P30" s="10" t="s">
        <v>1</v>
      </c>
      <c r="Q30" s="3" t="s">
        <v>157</v>
      </c>
      <c r="S30" s="16">
        <v>6</v>
      </c>
      <c r="T30" s="1" t="s">
        <v>22</v>
      </c>
      <c r="X30" s="10" t="s">
        <v>1</v>
      </c>
      <c r="Y30" s="3"/>
    </row>
    <row r="31" spans="2:25" x14ac:dyDescent="0.25">
      <c r="K31" s="16">
        <v>9</v>
      </c>
      <c r="L31" s="1" t="s">
        <v>26</v>
      </c>
      <c r="P31" s="10" t="s">
        <v>1</v>
      </c>
      <c r="Q31" s="3" t="s">
        <v>150</v>
      </c>
      <c r="S31" s="16">
        <v>7</v>
      </c>
      <c r="T31" s="1" t="s">
        <v>23</v>
      </c>
      <c r="X31" s="10" t="s">
        <v>1</v>
      </c>
      <c r="Y31" s="3"/>
    </row>
    <row r="32" spans="2:25" x14ac:dyDescent="0.25">
      <c r="K32" s="5"/>
      <c r="L32" s="6"/>
      <c r="M32" s="6"/>
      <c r="N32" s="6"/>
      <c r="O32" s="6"/>
      <c r="P32" s="6"/>
      <c r="Q32" s="7"/>
      <c r="S32" s="16">
        <v>8</v>
      </c>
      <c r="T32" s="1" t="s">
        <v>24</v>
      </c>
      <c r="X32" s="10" t="s">
        <v>1</v>
      </c>
      <c r="Y32" s="3"/>
    </row>
    <row r="33" spans="19:25" x14ac:dyDescent="0.25">
      <c r="S33" s="16">
        <v>9</v>
      </c>
      <c r="T33" s="1" t="s">
        <v>26</v>
      </c>
      <c r="X33" s="10" t="s">
        <v>1</v>
      </c>
      <c r="Y33" s="3"/>
    </row>
    <row r="34" spans="19:25" x14ac:dyDescent="0.25">
      <c r="S34" s="21" t="s">
        <v>58</v>
      </c>
      <c r="T34" s="1" t="s">
        <v>50</v>
      </c>
      <c r="X34" s="10" t="s">
        <v>1</v>
      </c>
      <c r="Y34" s="46"/>
    </row>
    <row r="35" spans="19:25" x14ac:dyDescent="0.25">
      <c r="S35" s="21" t="s">
        <v>58</v>
      </c>
      <c r="T35" s="1" t="s">
        <v>51</v>
      </c>
      <c r="X35" s="10" t="s">
        <v>1</v>
      </c>
      <c r="Y35" s="3"/>
    </row>
    <row r="36" spans="19:25" x14ac:dyDescent="0.25">
      <c r="S36" s="5"/>
      <c r="T36" s="6"/>
      <c r="U36" s="6"/>
      <c r="V36" s="6"/>
      <c r="W36" s="6"/>
      <c r="X36" s="6"/>
      <c r="Y36" s="7"/>
    </row>
  </sheetData>
  <mergeCells count="10">
    <mergeCell ref="L22:M22"/>
    <mergeCell ref="K10:Q10"/>
    <mergeCell ref="B11:I11"/>
    <mergeCell ref="S23:Y23"/>
    <mergeCell ref="S24:Y24"/>
    <mergeCell ref="S10:Y10"/>
    <mergeCell ref="S11:Y11"/>
    <mergeCell ref="B10:I10"/>
    <mergeCell ref="L11:M11"/>
    <mergeCell ref="Y20:Y2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6"/>
  <sheetViews>
    <sheetView topLeftCell="A40" workbookViewId="0">
      <selection activeCell="N53" sqref="N53"/>
    </sheetView>
  </sheetViews>
  <sheetFormatPr defaultRowHeight="15" x14ac:dyDescent="0.25"/>
  <cols>
    <col min="1" max="1" width="2.85546875" style="1" customWidth="1"/>
    <col min="2" max="2" width="3.85546875" style="1" customWidth="1"/>
    <col min="3" max="3" width="2.140625" style="1" customWidth="1"/>
    <col min="4" max="4" width="3.85546875" style="1" customWidth="1"/>
    <col min="5" max="6" width="2.85546875" style="1" customWidth="1"/>
    <col min="7" max="7" width="11" style="1" customWidth="1"/>
    <col min="8" max="8" width="4.42578125" style="1" customWidth="1"/>
    <col min="9" max="9" width="8.42578125" style="1" customWidth="1"/>
    <col min="10" max="10" width="2.5703125" style="1" customWidth="1"/>
    <col min="11" max="11" width="2.85546875" style="1" customWidth="1"/>
    <col min="12" max="12" width="2.140625" style="1" customWidth="1"/>
    <col min="13" max="13" width="12.7109375" style="1" customWidth="1"/>
    <col min="14" max="14" width="13" style="1" customWidth="1"/>
    <col min="15" max="15" width="11.5703125" style="1" customWidth="1"/>
    <col min="16" max="17" width="4.28515625" style="1" customWidth="1"/>
    <col min="18" max="18" width="6" style="1" customWidth="1"/>
    <col min="19" max="16384" width="9.140625" style="1"/>
  </cols>
  <sheetData>
    <row r="1" spans="1:25" ht="1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/>
    </row>
    <row r="2" spans="1:25" ht="17.100000000000001" customHeight="1" x14ac:dyDescent="0.25">
      <c r="A2" s="61"/>
      <c r="C2" s="4" t="s">
        <v>108</v>
      </c>
      <c r="Q2" s="8"/>
      <c r="R2" s="62"/>
    </row>
    <row r="3" spans="1:25" ht="17.100000000000001" customHeight="1" x14ac:dyDescent="0.25">
      <c r="A3" s="61"/>
      <c r="C3" s="4" t="s">
        <v>109</v>
      </c>
      <c r="Q3" s="49"/>
      <c r="R3" s="62"/>
    </row>
    <row r="4" spans="1:25" ht="17.100000000000001" customHeight="1" x14ac:dyDescent="0.25">
      <c r="A4" s="61"/>
      <c r="C4" s="72" t="s">
        <v>110</v>
      </c>
      <c r="Q4" s="49"/>
      <c r="R4" s="62"/>
    </row>
    <row r="5" spans="1:25" ht="17.100000000000001" customHeight="1" x14ac:dyDescent="0.25">
      <c r="A5" s="61"/>
      <c r="C5" s="72" t="s">
        <v>111</v>
      </c>
      <c r="Q5" s="49"/>
      <c r="R5" s="62"/>
    </row>
    <row r="6" spans="1:25" ht="17.100000000000001" customHeight="1" x14ac:dyDescent="0.25">
      <c r="A6" s="61"/>
      <c r="C6" s="72" t="s">
        <v>112</v>
      </c>
      <c r="Q6" s="49"/>
      <c r="R6" s="62"/>
    </row>
    <row r="7" spans="1:25" ht="4.5" customHeight="1" x14ac:dyDescent="0.25">
      <c r="A7" s="61"/>
      <c r="Q7" s="49"/>
      <c r="R7" s="62"/>
    </row>
    <row r="8" spans="1:25" ht="20.100000000000001" customHeight="1" x14ac:dyDescent="0.25">
      <c r="A8" s="61"/>
      <c r="C8" s="107" t="s">
        <v>114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62"/>
    </row>
    <row r="9" spans="1:25" ht="7.5" customHeight="1" x14ac:dyDescent="0.25">
      <c r="A9" s="6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62"/>
    </row>
    <row r="10" spans="1:25" ht="17.100000000000001" customHeight="1" x14ac:dyDescent="0.25">
      <c r="A10" s="61"/>
      <c r="Q10" s="8" t="s">
        <v>40</v>
      </c>
      <c r="R10" s="62"/>
    </row>
    <row r="11" spans="1:25" ht="6" customHeight="1" x14ac:dyDescent="0.25">
      <c r="A11" s="61"/>
      <c r="R11" s="62"/>
    </row>
    <row r="12" spans="1:25" ht="17.100000000000001" customHeight="1" x14ac:dyDescent="0.25">
      <c r="A12" s="61"/>
      <c r="C12" s="11" t="s">
        <v>0</v>
      </c>
      <c r="E12" s="11"/>
      <c r="F12" s="11"/>
      <c r="G12" s="11"/>
      <c r="H12" s="10" t="s">
        <v>1</v>
      </c>
      <c r="I12" s="11" t="s">
        <v>2</v>
      </c>
      <c r="R12" s="62"/>
    </row>
    <row r="13" spans="1:25" ht="17.100000000000001" customHeight="1" x14ac:dyDescent="0.25">
      <c r="A13" s="61"/>
      <c r="C13" s="11" t="s">
        <v>3</v>
      </c>
      <c r="E13" s="11"/>
      <c r="F13" s="11"/>
      <c r="G13" s="11"/>
      <c r="H13" s="10" t="s">
        <v>1</v>
      </c>
      <c r="I13" s="11" t="s">
        <v>4</v>
      </c>
      <c r="R13" s="62"/>
    </row>
    <row r="14" spans="1:25" ht="17.100000000000001" customHeight="1" x14ac:dyDescent="0.25">
      <c r="A14" s="61"/>
      <c r="C14" s="11" t="s">
        <v>5</v>
      </c>
      <c r="E14" s="11"/>
      <c r="F14" s="11"/>
      <c r="G14" s="11"/>
      <c r="H14" s="10" t="s">
        <v>1</v>
      </c>
      <c r="I14" s="11" t="s">
        <v>6</v>
      </c>
      <c r="R14" s="62"/>
    </row>
    <row r="15" spans="1:25" ht="9" customHeight="1" x14ac:dyDescent="0.25">
      <c r="A15" s="61"/>
      <c r="R15" s="62"/>
    </row>
    <row r="16" spans="1:25" ht="17.100000000000001" customHeight="1" x14ac:dyDescent="0.25">
      <c r="A16" s="61"/>
      <c r="B16" s="85" t="s">
        <v>113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62"/>
      <c r="Y16" s="54"/>
    </row>
    <row r="17" spans="1:18" ht="17.100000000000001" customHeight="1" x14ac:dyDescent="0.25">
      <c r="A17" s="61"/>
      <c r="I17" s="106" t="s">
        <v>38</v>
      </c>
      <c r="J17" s="106"/>
      <c r="K17" s="1" t="str">
        <f>INPUT!F2</f>
        <v>432/DKP/VIII/2026</v>
      </c>
      <c r="R17" s="62"/>
    </row>
    <row r="18" spans="1:18" ht="9" customHeight="1" x14ac:dyDescent="0.25">
      <c r="A18" s="61"/>
      <c r="R18" s="62"/>
    </row>
    <row r="19" spans="1:18" ht="15" customHeight="1" x14ac:dyDescent="0.25">
      <c r="A19" s="61"/>
      <c r="C19" s="1" t="s">
        <v>115</v>
      </c>
      <c r="R19" s="62"/>
    </row>
    <row r="20" spans="1:18" ht="15" customHeight="1" x14ac:dyDescent="0.25">
      <c r="A20" s="61"/>
      <c r="D20" s="1" t="s">
        <v>7</v>
      </c>
      <c r="E20" s="1" t="s">
        <v>76</v>
      </c>
      <c r="L20" s="10" t="s">
        <v>1</v>
      </c>
      <c r="M20" s="1" t="str">
        <f>INPUT!I12</f>
        <v>Muh.Israh</v>
      </c>
      <c r="R20" s="62"/>
    </row>
    <row r="21" spans="1:18" ht="15" customHeight="1" x14ac:dyDescent="0.25">
      <c r="A21" s="61"/>
      <c r="D21" s="50" t="s">
        <v>8</v>
      </c>
      <c r="E21" s="1" t="s">
        <v>20</v>
      </c>
      <c r="L21" s="10" t="s">
        <v>1</v>
      </c>
      <c r="M21" s="1" t="str">
        <f>INPUT!I16</f>
        <v>7304092802980001</v>
      </c>
      <c r="R21" s="62"/>
    </row>
    <row r="22" spans="1:18" ht="15" customHeight="1" x14ac:dyDescent="0.25">
      <c r="A22" s="61"/>
      <c r="D22" s="1" t="s">
        <v>9</v>
      </c>
      <c r="E22" s="1" t="s">
        <v>18</v>
      </c>
      <c r="L22" s="10" t="s">
        <v>1</v>
      </c>
      <c r="M22" s="1" t="str">
        <f>INPUT!I14</f>
        <v>Laki-Laki</v>
      </c>
      <c r="R22" s="62"/>
    </row>
    <row r="23" spans="1:18" ht="15" customHeight="1" x14ac:dyDescent="0.25">
      <c r="A23" s="61"/>
      <c r="D23" s="1" t="s">
        <v>10</v>
      </c>
      <c r="E23" s="1" t="s">
        <v>19</v>
      </c>
      <c r="L23" s="10" t="s">
        <v>1</v>
      </c>
      <c r="M23" s="1" t="str">
        <f>INPUT!I15</f>
        <v>Jeneponto, 28 Februari 1998</v>
      </c>
      <c r="R23" s="62"/>
    </row>
    <row r="24" spans="1:18" ht="15" customHeight="1" x14ac:dyDescent="0.25">
      <c r="A24" s="61"/>
      <c r="D24" s="50" t="s">
        <v>11</v>
      </c>
      <c r="E24" s="1" t="s">
        <v>77</v>
      </c>
      <c r="L24" s="10" t="s">
        <v>1</v>
      </c>
      <c r="M24" s="1" t="str">
        <f>INPUT!I17</f>
        <v>Indonesia</v>
      </c>
      <c r="R24" s="62"/>
    </row>
    <row r="25" spans="1:18" ht="15" customHeight="1" x14ac:dyDescent="0.25">
      <c r="A25" s="61"/>
      <c r="D25" s="50" t="s">
        <v>12</v>
      </c>
      <c r="E25" s="1" t="s">
        <v>22</v>
      </c>
      <c r="L25" s="10" t="s">
        <v>1</v>
      </c>
      <c r="M25" s="1" t="str">
        <f>INPUT!I18</f>
        <v>Islam</v>
      </c>
      <c r="R25" s="62"/>
    </row>
    <row r="26" spans="1:18" ht="15" customHeight="1" x14ac:dyDescent="0.25">
      <c r="A26" s="61"/>
      <c r="D26" s="50" t="s">
        <v>13</v>
      </c>
      <c r="E26" s="1" t="s">
        <v>24</v>
      </c>
      <c r="L26" s="10" t="s">
        <v>1</v>
      </c>
      <c r="M26" s="1" t="str">
        <f>INPUT!I20</f>
        <v>Pelajar/Mahasiswa</v>
      </c>
      <c r="R26" s="62"/>
    </row>
    <row r="27" spans="1:18" ht="15" customHeight="1" x14ac:dyDescent="0.25">
      <c r="A27" s="61"/>
      <c r="D27" s="50" t="s">
        <v>14</v>
      </c>
      <c r="E27" s="1" t="s">
        <v>78</v>
      </c>
      <c r="L27" s="10" t="s">
        <v>1</v>
      </c>
      <c r="M27" s="1" t="str">
        <f>INPUT!I21</f>
        <v>Buntulu Desa Kampala</v>
      </c>
      <c r="R27" s="62"/>
    </row>
    <row r="28" spans="1:18" ht="15" customHeight="1" x14ac:dyDescent="0.25">
      <c r="A28" s="61"/>
      <c r="D28" s="50" t="s">
        <v>15</v>
      </c>
      <c r="E28" s="11" t="s">
        <v>27</v>
      </c>
      <c r="L28" s="10" t="s">
        <v>1</v>
      </c>
      <c r="R28" s="62"/>
    </row>
    <row r="29" spans="1:18" ht="15" customHeight="1" x14ac:dyDescent="0.25">
      <c r="A29" s="61"/>
      <c r="E29" s="1" t="s">
        <v>28</v>
      </c>
      <c r="F29" s="1" t="s">
        <v>116</v>
      </c>
      <c r="L29" s="10"/>
      <c r="R29" s="62"/>
    </row>
    <row r="30" spans="1:18" ht="15" customHeight="1" x14ac:dyDescent="0.25">
      <c r="A30" s="61"/>
      <c r="F30" s="1" t="s">
        <v>117</v>
      </c>
      <c r="L30" s="10" t="s">
        <v>1</v>
      </c>
      <c r="M30" s="1" t="str">
        <f>INPUT!I25</f>
        <v>Perjaka</v>
      </c>
      <c r="R30" s="62"/>
    </row>
    <row r="31" spans="1:18" ht="15" customHeight="1" x14ac:dyDescent="0.25">
      <c r="A31" s="61"/>
      <c r="E31" s="1" t="s">
        <v>32</v>
      </c>
      <c r="F31" s="1" t="s">
        <v>118</v>
      </c>
      <c r="L31" s="10" t="s">
        <v>1</v>
      </c>
      <c r="M31" s="1" t="str">
        <f>INPUT!I27</f>
        <v>--</v>
      </c>
      <c r="R31" s="62"/>
    </row>
    <row r="32" spans="1:18" ht="15" customHeight="1" x14ac:dyDescent="0.25">
      <c r="A32" s="61"/>
      <c r="D32" s="50" t="s">
        <v>25</v>
      </c>
      <c r="E32" s="1" t="s">
        <v>35</v>
      </c>
      <c r="L32" s="10" t="s">
        <v>1</v>
      </c>
      <c r="M32" s="54">
        <f>INPUT!I28</f>
        <v>0</v>
      </c>
      <c r="N32" s="54"/>
      <c r="O32" s="54"/>
      <c r="P32" s="54"/>
      <c r="Q32" s="54"/>
      <c r="R32" s="82"/>
    </row>
    <row r="33" spans="1:19" ht="15" customHeight="1" x14ac:dyDescent="0.25">
      <c r="A33" s="61"/>
      <c r="C33" s="1" t="s">
        <v>79</v>
      </c>
      <c r="K33" s="10"/>
      <c r="R33" s="62"/>
    </row>
    <row r="34" spans="1:19" ht="15" customHeight="1" x14ac:dyDescent="0.25">
      <c r="A34" s="61"/>
      <c r="D34" s="1" t="s">
        <v>16</v>
      </c>
      <c r="L34" s="10" t="s">
        <v>1</v>
      </c>
      <c r="M34" s="11" t="str">
        <f>INPUT!Q12</f>
        <v>Djahuddin, SE.Sy</v>
      </c>
      <c r="R34" s="62"/>
    </row>
    <row r="35" spans="1:19" ht="15" customHeight="1" x14ac:dyDescent="0.25">
      <c r="A35" s="61"/>
      <c r="D35" s="1" t="s">
        <v>20</v>
      </c>
      <c r="L35" s="10" t="s">
        <v>1</v>
      </c>
      <c r="M35" s="11" t="str">
        <f>INPUT!Q15</f>
        <v>7304092101730001</v>
      </c>
      <c r="R35" s="62"/>
    </row>
    <row r="36" spans="1:19" ht="15" customHeight="1" x14ac:dyDescent="0.25">
      <c r="A36" s="61"/>
      <c r="D36" s="1" t="s">
        <v>19</v>
      </c>
      <c r="L36" s="10" t="s">
        <v>1</v>
      </c>
      <c r="M36" s="11" t="str">
        <f>INPUT!Q14</f>
        <v>Buntulu, 21 Januari 1973</v>
      </c>
      <c r="R36" s="62"/>
    </row>
    <row r="37" spans="1:19" ht="15" customHeight="1" x14ac:dyDescent="0.25">
      <c r="A37" s="61"/>
      <c r="D37" s="1" t="s">
        <v>77</v>
      </c>
      <c r="L37" s="10" t="s">
        <v>1</v>
      </c>
      <c r="M37" s="11" t="str">
        <f>INPUT!Q16</f>
        <v xml:space="preserve">Indonesia </v>
      </c>
      <c r="R37" s="62"/>
    </row>
    <row r="38" spans="1:19" ht="15" customHeight="1" x14ac:dyDescent="0.25">
      <c r="A38" s="61"/>
      <c r="D38" s="1" t="s">
        <v>22</v>
      </c>
      <c r="L38" s="10" t="s">
        <v>1</v>
      </c>
      <c r="M38" s="11" t="str">
        <f>INPUT!Q17</f>
        <v>Islam</v>
      </c>
      <c r="R38" s="62"/>
    </row>
    <row r="39" spans="1:19" ht="15" customHeight="1" x14ac:dyDescent="0.25">
      <c r="A39" s="61"/>
      <c r="D39" s="1" t="s">
        <v>24</v>
      </c>
      <c r="L39" s="10" t="s">
        <v>1</v>
      </c>
      <c r="M39" s="11" t="str">
        <f>INPUT!Q19</f>
        <v>PNS</v>
      </c>
      <c r="R39" s="62"/>
    </row>
    <row r="40" spans="1:19" ht="15" customHeight="1" x14ac:dyDescent="0.25">
      <c r="A40" s="61"/>
      <c r="D40" s="1" t="s">
        <v>78</v>
      </c>
      <c r="L40" s="10" t="s">
        <v>1</v>
      </c>
      <c r="M40" s="11" t="str">
        <f>INPUT!Q20</f>
        <v>Buntulu Desa Kampala</v>
      </c>
      <c r="R40" s="62"/>
    </row>
    <row r="41" spans="1:19" ht="15" customHeight="1" x14ac:dyDescent="0.25">
      <c r="A41" s="61"/>
      <c r="C41" s="11" t="s">
        <v>119</v>
      </c>
      <c r="R41" s="62"/>
    </row>
    <row r="42" spans="1:19" ht="15" customHeight="1" x14ac:dyDescent="0.25">
      <c r="A42" s="61"/>
      <c r="D42" s="1" t="s">
        <v>16</v>
      </c>
      <c r="L42" s="10" t="s">
        <v>1</v>
      </c>
      <c r="M42" s="1" t="str">
        <f>INPUT!Q23</f>
        <v>Sukmawati</v>
      </c>
      <c r="R42" s="62"/>
    </row>
    <row r="43" spans="1:19" ht="15" customHeight="1" x14ac:dyDescent="0.25">
      <c r="A43" s="61"/>
      <c r="D43" s="1" t="s">
        <v>20</v>
      </c>
      <c r="L43" s="10" t="s">
        <v>1</v>
      </c>
      <c r="M43" s="11" t="str">
        <f>INPUT!Q26</f>
        <v>7304094107750008</v>
      </c>
      <c r="R43" s="62"/>
      <c r="S43"/>
    </row>
    <row r="44" spans="1:19" ht="15" customHeight="1" x14ac:dyDescent="0.25">
      <c r="A44" s="61"/>
      <c r="D44" s="1" t="s">
        <v>19</v>
      </c>
      <c r="L44" s="10" t="s">
        <v>1</v>
      </c>
      <c r="M44" s="11" t="str">
        <f>INPUT!Q25</f>
        <v>Borong Bilalang</v>
      </c>
      <c r="R44" s="62"/>
    </row>
    <row r="45" spans="1:19" ht="15" customHeight="1" x14ac:dyDescent="0.25">
      <c r="A45" s="61"/>
      <c r="D45" s="1" t="s">
        <v>77</v>
      </c>
      <c r="I45" s="1" t="s">
        <v>107</v>
      </c>
      <c r="L45" s="10" t="s">
        <v>1</v>
      </c>
      <c r="M45" s="11" t="str">
        <f>INPUT!Q27</f>
        <v>Indonesia</v>
      </c>
      <c r="R45" s="62"/>
    </row>
    <row r="46" spans="1:19" ht="15" customHeight="1" x14ac:dyDescent="0.25">
      <c r="A46" s="61"/>
      <c r="D46" s="1" t="s">
        <v>22</v>
      </c>
      <c r="L46" s="10" t="s">
        <v>1</v>
      </c>
      <c r="M46" s="1" t="str">
        <f>INPUT!Q28</f>
        <v>Islam</v>
      </c>
      <c r="R46" s="62"/>
    </row>
    <row r="47" spans="1:19" ht="15" customHeight="1" x14ac:dyDescent="0.25">
      <c r="A47" s="61"/>
      <c r="D47" s="1" t="s">
        <v>24</v>
      </c>
      <c r="L47" s="10" t="s">
        <v>1</v>
      </c>
      <c r="M47" s="1" t="str">
        <f>INPUT!Q30</f>
        <v>IRT</v>
      </c>
      <c r="R47" s="62"/>
    </row>
    <row r="48" spans="1:19" ht="15" customHeight="1" x14ac:dyDescent="0.25">
      <c r="A48" s="61"/>
      <c r="D48" s="1" t="s">
        <v>78</v>
      </c>
      <c r="L48" s="10" t="s">
        <v>1</v>
      </c>
      <c r="M48" s="11" t="str">
        <f>INPUT!Q31</f>
        <v>Buntulu Desa Kampala</v>
      </c>
      <c r="R48" s="62"/>
    </row>
    <row r="49" spans="1:18" ht="10.5" customHeight="1" x14ac:dyDescent="0.25">
      <c r="A49" s="61"/>
      <c r="R49" s="62"/>
    </row>
    <row r="50" spans="1:18" ht="17.100000000000001" customHeight="1" x14ac:dyDescent="0.25">
      <c r="A50" s="61"/>
      <c r="D50" s="1" t="s">
        <v>80</v>
      </c>
      <c r="R50" s="62"/>
    </row>
    <row r="51" spans="1:18" ht="17.100000000000001" customHeight="1" x14ac:dyDescent="0.25">
      <c r="A51" s="61"/>
      <c r="C51" s="1" t="s">
        <v>81</v>
      </c>
      <c r="R51" s="62"/>
    </row>
    <row r="52" spans="1:18" ht="9" customHeight="1" x14ac:dyDescent="0.25">
      <c r="A52" s="61"/>
      <c r="R52" s="62"/>
    </row>
    <row r="53" spans="1:18" ht="17.100000000000001" customHeight="1" x14ac:dyDescent="0.25">
      <c r="A53" s="61"/>
      <c r="N53" s="49" t="s">
        <v>52</v>
      </c>
      <c r="O53" s="88">
        <f>INPUT!F3</f>
        <v>46265</v>
      </c>
      <c r="P53" s="88"/>
      <c r="Q53" s="88"/>
      <c r="R53" s="62"/>
    </row>
    <row r="54" spans="1:18" ht="17.100000000000001" customHeight="1" x14ac:dyDescent="0.25">
      <c r="A54" s="61"/>
      <c r="N54" s="1" t="s">
        <v>37</v>
      </c>
      <c r="R54" s="62"/>
    </row>
    <row r="55" spans="1:18" ht="17.100000000000001" customHeight="1" x14ac:dyDescent="0.25">
      <c r="A55" s="61"/>
      <c r="N55" s="1" t="s">
        <v>139</v>
      </c>
      <c r="R55" s="62"/>
    </row>
    <row r="56" spans="1:18" ht="17.100000000000001" customHeight="1" x14ac:dyDescent="0.25">
      <c r="A56" s="61"/>
      <c r="M56" s="10"/>
      <c r="R56" s="62"/>
    </row>
    <row r="57" spans="1:18" ht="16.5" customHeight="1" x14ac:dyDescent="0.25">
      <c r="A57" s="61"/>
      <c r="R57" s="62"/>
    </row>
    <row r="58" spans="1:18" ht="17.100000000000001" customHeight="1" x14ac:dyDescent="0.25">
      <c r="A58" s="61"/>
      <c r="R58" s="62"/>
    </row>
    <row r="59" spans="1:18" ht="17.100000000000001" customHeight="1" x14ac:dyDescent="0.25">
      <c r="A59" s="61"/>
      <c r="N59" s="57" t="s">
        <v>71</v>
      </c>
      <c r="R59" s="62"/>
    </row>
    <row r="60" spans="1:18" ht="17.100000000000001" customHeight="1" x14ac:dyDescent="0.25">
      <c r="A60" s="61"/>
      <c r="R60" s="62"/>
    </row>
    <row r="61" spans="1:18" ht="17.100000000000001" customHeight="1" x14ac:dyDescent="0.25">
      <c r="A61" s="61"/>
      <c r="D61" s="4"/>
      <c r="R61" s="62"/>
    </row>
    <row r="62" spans="1:18" ht="17.100000000000001" customHeight="1" x14ac:dyDescent="0.25">
      <c r="A62" s="61"/>
      <c r="R62" s="62"/>
    </row>
    <row r="63" spans="1:18" x14ac:dyDescent="0.25">
      <c r="A63" s="61"/>
      <c r="R63" s="62"/>
    </row>
    <row r="64" spans="1:18" x14ac:dyDescent="0.25">
      <c r="A64" s="61"/>
      <c r="R64" s="62"/>
    </row>
    <row r="65" spans="1:18" x14ac:dyDescent="0.25">
      <c r="A65" s="61"/>
      <c r="R65" s="62"/>
    </row>
    <row r="66" spans="1:18" ht="15.75" thickBot="1" x14ac:dyDescent="0.3">
      <c r="A66" s="63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5"/>
    </row>
  </sheetData>
  <mergeCells count="4">
    <mergeCell ref="B16:Q16"/>
    <mergeCell ref="I17:J17"/>
    <mergeCell ref="O53:Q53"/>
    <mergeCell ref="C8:Q8"/>
  </mergeCells>
  <pageMargins left="0.59055118110236227" right="0.23622047244094491" top="0.39370078740157483" bottom="0.39370078740157483" header="0.31496062992125984" footer="0.31496062992125984"/>
  <pageSetup paperSize="5" scale="9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topLeftCell="A4" workbookViewId="0">
      <selection activeCell="O43" sqref="O43"/>
    </sheetView>
  </sheetViews>
  <sheetFormatPr defaultRowHeight="15" x14ac:dyDescent="0.25"/>
  <cols>
    <col min="1" max="1" width="3.28515625" style="1" customWidth="1"/>
    <col min="2" max="2" width="2.42578125" style="1" customWidth="1"/>
    <col min="3" max="3" width="2.85546875" style="1" customWidth="1"/>
    <col min="4" max="4" width="3.85546875" style="1" customWidth="1"/>
    <col min="5" max="5" width="1.28515625" style="1" customWidth="1"/>
    <col min="6" max="6" width="10.42578125" style="1" customWidth="1"/>
    <col min="7" max="7" width="1.42578125" style="1" customWidth="1"/>
    <col min="8" max="8" width="8" style="1" customWidth="1"/>
    <col min="9" max="9" width="7" style="1" customWidth="1"/>
    <col min="10" max="10" width="6.28515625" style="1" customWidth="1"/>
    <col min="11" max="11" width="4.85546875" style="1" customWidth="1"/>
    <col min="12" max="12" width="4.7109375" style="1" customWidth="1"/>
    <col min="13" max="13" width="4.42578125" style="1" customWidth="1"/>
    <col min="14" max="14" width="3.5703125" style="1" customWidth="1"/>
    <col min="15" max="15" width="3.42578125" style="1" customWidth="1"/>
    <col min="16" max="16" width="2" style="1" customWidth="1"/>
    <col min="17" max="17" width="6.28515625" style="1" customWidth="1"/>
    <col min="18" max="18" width="9.28515625" style="1" customWidth="1"/>
    <col min="19" max="19" width="8.7109375" style="1" customWidth="1"/>
    <col min="20" max="20" width="4" style="1" customWidth="1"/>
    <col min="21" max="21" width="4.5703125" style="1" customWidth="1"/>
    <col min="22" max="22" width="3.140625" style="1" customWidth="1"/>
    <col min="23" max="16384" width="9.140625" style="1"/>
  </cols>
  <sheetData>
    <row r="1" spans="1:21" ht="18.7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60"/>
    </row>
    <row r="2" spans="1:21" ht="15" customHeight="1" x14ac:dyDescent="0.25">
      <c r="A2" s="61"/>
      <c r="C2" s="4" t="s">
        <v>108</v>
      </c>
      <c r="T2" s="62"/>
    </row>
    <row r="3" spans="1:21" ht="15" customHeight="1" x14ac:dyDescent="0.25">
      <c r="A3" s="61"/>
      <c r="C3" s="4" t="s">
        <v>109</v>
      </c>
      <c r="T3" s="62"/>
    </row>
    <row r="4" spans="1:21" ht="15" customHeight="1" x14ac:dyDescent="0.25">
      <c r="A4" s="61"/>
      <c r="C4" s="72" t="s">
        <v>110</v>
      </c>
      <c r="T4" s="62"/>
    </row>
    <row r="5" spans="1:21" ht="15" customHeight="1" x14ac:dyDescent="0.25">
      <c r="A5" s="61"/>
      <c r="C5" s="72" t="s">
        <v>111</v>
      </c>
      <c r="T5" s="66"/>
      <c r="U5" s="8"/>
    </row>
    <row r="6" spans="1:21" ht="15" customHeight="1" x14ac:dyDescent="0.25">
      <c r="A6" s="61"/>
      <c r="C6" s="72" t="s">
        <v>112</v>
      </c>
      <c r="T6" s="67"/>
      <c r="U6" s="49"/>
    </row>
    <row r="7" spans="1:21" ht="11.25" customHeight="1" x14ac:dyDescent="0.25">
      <c r="A7" s="61"/>
      <c r="C7" s="72"/>
      <c r="T7" s="67"/>
      <c r="U7" s="49"/>
    </row>
    <row r="8" spans="1:21" ht="15" customHeight="1" x14ac:dyDescent="0.25">
      <c r="A8" s="61"/>
      <c r="C8" s="107" t="s">
        <v>120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67"/>
      <c r="U8" s="49"/>
    </row>
    <row r="9" spans="1:21" ht="11.25" customHeight="1" x14ac:dyDescent="0.25">
      <c r="A9" s="6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67"/>
      <c r="U9" s="49"/>
    </row>
    <row r="10" spans="1:21" ht="12.75" customHeight="1" x14ac:dyDescent="0.25">
      <c r="A10" s="61"/>
      <c r="R10" s="110" t="s">
        <v>39</v>
      </c>
      <c r="S10" s="110"/>
      <c r="T10" s="68"/>
      <c r="U10" s="52"/>
    </row>
    <row r="11" spans="1:21" ht="8.25" customHeight="1" x14ac:dyDescent="0.25">
      <c r="A11" s="61"/>
      <c r="T11" s="66"/>
      <c r="U11" s="8"/>
    </row>
    <row r="12" spans="1:21" ht="15" customHeight="1" x14ac:dyDescent="0.25">
      <c r="A12" s="61"/>
      <c r="C12" s="11" t="s">
        <v>82</v>
      </c>
      <c r="E12" s="10" t="s">
        <v>1</v>
      </c>
      <c r="F12" s="1" t="s">
        <v>131</v>
      </c>
      <c r="P12" s="1" t="s">
        <v>121</v>
      </c>
      <c r="R12" s="88">
        <f>INPUT!F3</f>
        <v>46265</v>
      </c>
      <c r="S12" s="88"/>
      <c r="T12" s="62"/>
    </row>
    <row r="13" spans="1:21" ht="15" customHeight="1" x14ac:dyDescent="0.25">
      <c r="A13" s="61"/>
      <c r="C13" s="9"/>
      <c r="E13" s="9"/>
      <c r="F13" s="9"/>
      <c r="G13" s="9"/>
      <c r="H13" s="51"/>
      <c r="I13" s="56"/>
      <c r="T13" s="62"/>
    </row>
    <row r="14" spans="1:21" ht="15" customHeight="1" x14ac:dyDescent="0.25">
      <c r="A14" s="61"/>
      <c r="C14" s="1" t="s">
        <v>59</v>
      </c>
      <c r="E14" s="9"/>
      <c r="F14" s="9"/>
      <c r="G14" s="9"/>
      <c r="H14" s="51"/>
      <c r="I14" s="56"/>
      <c r="T14" s="62"/>
    </row>
    <row r="15" spans="1:21" ht="15" customHeight="1" x14ac:dyDescent="0.25">
      <c r="A15" s="61"/>
      <c r="C15" s="1" t="s">
        <v>83</v>
      </c>
      <c r="E15" s="9"/>
      <c r="F15" s="9"/>
      <c r="G15" s="9"/>
      <c r="H15" s="51"/>
      <c r="I15" s="56"/>
      <c r="T15" s="62"/>
    </row>
    <row r="16" spans="1:21" ht="15" customHeight="1" x14ac:dyDescent="0.25">
      <c r="A16" s="61"/>
      <c r="C16" s="1" t="s">
        <v>60</v>
      </c>
      <c r="D16"/>
      <c r="E16" s="1" t="s">
        <v>84</v>
      </c>
      <c r="F16"/>
      <c r="G16"/>
      <c r="H16"/>
      <c r="I16"/>
      <c r="J16"/>
      <c r="K16"/>
      <c r="L16"/>
      <c r="O16"/>
      <c r="P16"/>
      <c r="Q16"/>
      <c r="R16"/>
      <c r="S16"/>
      <c r="T16" s="62"/>
    </row>
    <row r="17" spans="1:21" ht="15" customHeight="1" x14ac:dyDescent="0.25">
      <c r="A17" s="61"/>
      <c r="C17"/>
      <c r="D17"/>
      <c r="E17"/>
      <c r="F17"/>
      <c r="G17"/>
      <c r="H17"/>
      <c r="I17"/>
      <c r="J17"/>
      <c r="K17"/>
      <c r="L17"/>
      <c r="O17" s="111"/>
      <c r="P17" s="111"/>
      <c r="Q17" s="111"/>
      <c r="R17" s="111"/>
      <c r="S17"/>
      <c r="T17" s="62"/>
    </row>
    <row r="18" spans="1:21" ht="15" customHeight="1" x14ac:dyDescent="0.25">
      <c r="A18" s="61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62"/>
    </row>
    <row r="19" spans="1:21" ht="15" customHeight="1" x14ac:dyDescent="0.25">
      <c r="A19" s="61"/>
      <c r="H19" s="108" t="s">
        <v>122</v>
      </c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9"/>
      <c r="U19" s="49"/>
    </row>
    <row r="20" spans="1:21" ht="15" customHeight="1" x14ac:dyDescent="0.25">
      <c r="A20" s="61"/>
      <c r="C20" s="1" t="s">
        <v>123</v>
      </c>
      <c r="G20" s="10" t="s">
        <v>1</v>
      </c>
      <c r="H20" s="52" t="str">
        <f>INPUT!I12</f>
        <v>Muh.Israh</v>
      </c>
      <c r="I20" s="52"/>
      <c r="J20" s="52"/>
      <c r="L20" s="52"/>
      <c r="P20" s="52"/>
      <c r="Q20" s="52"/>
      <c r="R20" s="52"/>
      <c r="S20" s="52"/>
      <c r="T20" s="69"/>
      <c r="U20" s="10"/>
    </row>
    <row r="21" spans="1:21" ht="15" customHeight="1" x14ac:dyDescent="0.25">
      <c r="A21" s="61"/>
      <c r="C21" s="1" t="s">
        <v>124</v>
      </c>
      <c r="F21" s="56"/>
      <c r="G21" s="10" t="s">
        <v>1</v>
      </c>
      <c r="H21" s="52" t="str">
        <f>INPUT!Y12</f>
        <v>Niken Johanni Syufitri.J</v>
      </c>
      <c r="I21" s="56"/>
      <c r="J21" s="56"/>
      <c r="L21" s="52"/>
      <c r="O21" s="56"/>
      <c r="P21" s="56"/>
      <c r="Q21" s="56"/>
      <c r="R21" s="56"/>
      <c r="S21" s="56"/>
      <c r="T21" s="69"/>
      <c r="U21" s="10"/>
    </row>
    <row r="22" spans="1:21" ht="15" customHeight="1" x14ac:dyDescent="0.25">
      <c r="A22" s="61"/>
      <c r="C22" s="11" t="s">
        <v>125</v>
      </c>
      <c r="D22" s="52"/>
      <c r="E22" s="52"/>
      <c r="F22" s="52"/>
      <c r="G22" s="10" t="s">
        <v>1</v>
      </c>
      <c r="H22" s="52" t="str">
        <f>INPUT!F4</f>
        <v>Sabtu</v>
      </c>
      <c r="I22" s="1" t="s">
        <v>127</v>
      </c>
      <c r="J22" s="112">
        <f>INPUT!F5</f>
        <v>46284</v>
      </c>
      <c r="K22" s="112"/>
      <c r="L22" s="112"/>
      <c r="M22" s="1" t="s">
        <v>85</v>
      </c>
      <c r="N22" s="74">
        <f>INPUT!F6</f>
        <v>0</v>
      </c>
      <c r="O22" s="54"/>
      <c r="P22" s="74"/>
      <c r="Q22" s="74"/>
      <c r="R22" s="54"/>
      <c r="S22" s="54"/>
      <c r="T22" s="62"/>
      <c r="U22" s="49"/>
    </row>
    <row r="23" spans="1:21" ht="15" customHeight="1" x14ac:dyDescent="0.25">
      <c r="A23" s="61"/>
      <c r="C23" t="s">
        <v>126</v>
      </c>
      <c r="D23" s="73"/>
      <c r="E23" s="73"/>
      <c r="F23" s="73"/>
      <c r="G23" s="10" t="s">
        <v>1</v>
      </c>
      <c r="H23" s="83" t="str">
        <f>INPUT!Y20</f>
        <v>Jl. Tembakau No.4 Bontosunggu Desa/Kelurahan Empoang Kec.Binamu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73"/>
      <c r="T23" s="62"/>
    </row>
    <row r="24" spans="1:21" ht="15" customHeight="1" x14ac:dyDescent="0.25">
      <c r="A24" s="61"/>
      <c r="C24"/>
      <c r="D24"/>
      <c r="E24"/>
      <c r="F24"/>
      <c r="G24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/>
      <c r="T24" s="62"/>
    </row>
    <row r="25" spans="1:21" ht="15" customHeight="1" x14ac:dyDescent="0.25">
      <c r="A25" s="61"/>
      <c r="C25" s="1" t="s">
        <v>61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s="62"/>
    </row>
    <row r="26" spans="1:21" ht="15" customHeight="1" x14ac:dyDescent="0.25">
      <c r="A26" s="61"/>
      <c r="C26" s="1" t="s">
        <v>7</v>
      </c>
      <c r="D26" s="1" t="s">
        <v>129</v>
      </c>
      <c r="R26"/>
      <c r="S26"/>
      <c r="T26" s="62"/>
    </row>
    <row r="27" spans="1:21" ht="15" customHeight="1" x14ac:dyDescent="0.25">
      <c r="A27" s="61"/>
      <c r="C27" s="1" t="s">
        <v>8</v>
      </c>
      <c r="D27" s="1" t="s">
        <v>94</v>
      </c>
      <c r="R27"/>
      <c r="S27"/>
      <c r="T27" s="62"/>
    </row>
    <row r="28" spans="1:21" ht="15" customHeight="1" x14ac:dyDescent="0.25">
      <c r="A28" s="61"/>
      <c r="C28" s="1" t="s">
        <v>9</v>
      </c>
      <c r="D28" s="1" t="s">
        <v>96</v>
      </c>
      <c r="R28"/>
      <c r="S28"/>
      <c r="T28" s="62"/>
    </row>
    <row r="29" spans="1:21" ht="15" customHeight="1" x14ac:dyDescent="0.25">
      <c r="A29" s="61"/>
      <c r="C29" s="1" t="s">
        <v>10</v>
      </c>
      <c r="D29" s="1" t="s">
        <v>95</v>
      </c>
      <c r="R29"/>
      <c r="S29"/>
      <c r="T29" s="62"/>
    </row>
    <row r="30" spans="1:21" ht="15" customHeight="1" x14ac:dyDescent="0.25">
      <c r="A30" s="61"/>
      <c r="C30" s="1" t="s">
        <v>11</v>
      </c>
      <c r="D30" s="1" t="s">
        <v>97</v>
      </c>
      <c r="R30"/>
      <c r="S30"/>
      <c r="T30" s="62"/>
    </row>
    <row r="31" spans="1:21" ht="15" customHeight="1" x14ac:dyDescent="0.25">
      <c r="A31" s="61"/>
      <c r="C31" s="1" t="s">
        <v>12</v>
      </c>
      <c r="D31" s="1" t="s">
        <v>130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 s="62"/>
    </row>
    <row r="32" spans="1:21" ht="15" customHeight="1" x14ac:dyDescent="0.25">
      <c r="A32" s="61"/>
      <c r="C32" s="1" t="s">
        <v>13</v>
      </c>
      <c r="D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 s="62"/>
    </row>
    <row r="33" spans="1:21" ht="15" customHeight="1" x14ac:dyDescent="0.25">
      <c r="A33" s="61"/>
      <c r="C33" s="1" t="s">
        <v>14</v>
      </c>
      <c r="D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 s="62"/>
    </row>
    <row r="34" spans="1:21" ht="15" customHeight="1" x14ac:dyDescent="0.25">
      <c r="A34" s="61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 s="62"/>
    </row>
    <row r="35" spans="1:21" ht="15" customHeight="1" x14ac:dyDescent="0.25">
      <c r="A35" s="61"/>
      <c r="D35" s="108" t="s">
        <v>91</v>
      </c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9"/>
      <c r="U35" s="49"/>
    </row>
    <row r="36" spans="1:21" ht="15" customHeight="1" x14ac:dyDescent="0.25">
      <c r="A36" s="61"/>
      <c r="C36" s="1" t="s">
        <v>90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 s="62"/>
    </row>
    <row r="37" spans="1:21" ht="15" customHeight="1" x14ac:dyDescent="0.25">
      <c r="A37" s="61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 s="62"/>
    </row>
    <row r="38" spans="1:21" ht="15" customHeight="1" x14ac:dyDescent="0.25">
      <c r="A38" s="61"/>
      <c r="D38"/>
      <c r="E38"/>
      <c r="F38"/>
      <c r="G38"/>
      <c r="H38"/>
      <c r="I38" s="86"/>
      <c r="J38" s="86"/>
      <c r="K38" s="86"/>
      <c r="L38" s="86"/>
      <c r="M38"/>
      <c r="N38"/>
      <c r="O38"/>
      <c r="P38"/>
      <c r="Q38"/>
      <c r="R38"/>
      <c r="S38"/>
      <c r="T38" s="62"/>
    </row>
    <row r="39" spans="1:21" ht="15" customHeight="1" x14ac:dyDescent="0.25">
      <c r="A39" s="61"/>
      <c r="C39" s="1" t="s">
        <v>92</v>
      </c>
      <c r="T39" s="62"/>
    </row>
    <row r="40" spans="1:21" ht="15" customHeight="1" x14ac:dyDescent="0.25">
      <c r="A40" s="61"/>
      <c r="C40" s="1" t="s">
        <v>62</v>
      </c>
      <c r="M40"/>
      <c r="N40"/>
      <c r="O40" s="1" t="s">
        <v>87</v>
      </c>
      <c r="P40" s="47"/>
      <c r="Q40" s="47"/>
      <c r="R40" s="47"/>
      <c r="S40" s="55"/>
      <c r="T40" s="62"/>
    </row>
    <row r="41" spans="1:21" ht="15" customHeight="1" x14ac:dyDescent="0.25">
      <c r="A41" s="61"/>
      <c r="C41" s="1" t="s">
        <v>93</v>
      </c>
      <c r="O41" s="47" t="s">
        <v>88</v>
      </c>
      <c r="T41" s="62"/>
    </row>
    <row r="42" spans="1:21" ht="15" customHeight="1" x14ac:dyDescent="0.25">
      <c r="A42" s="61"/>
      <c r="T42" s="62"/>
    </row>
    <row r="43" spans="1:21" ht="15" customHeight="1" x14ac:dyDescent="0.25">
      <c r="A43" s="61"/>
      <c r="T43" s="62"/>
    </row>
    <row r="44" spans="1:21" ht="15" customHeight="1" x14ac:dyDescent="0.25">
      <c r="A44" s="61"/>
      <c r="T44" s="62"/>
    </row>
    <row r="45" spans="1:21" ht="15" customHeight="1" x14ac:dyDescent="0.25">
      <c r="A45" s="61"/>
      <c r="T45" s="62"/>
    </row>
    <row r="46" spans="1:21" ht="15" customHeight="1" x14ac:dyDescent="0.25">
      <c r="A46" s="61"/>
      <c r="C46" s="53" t="s">
        <v>86</v>
      </c>
      <c r="D46" s="53"/>
      <c r="E46" s="53"/>
      <c r="F46" s="53"/>
      <c r="G46" s="53"/>
      <c r="H46" s="53"/>
      <c r="N46" s="53" t="s">
        <v>89</v>
      </c>
      <c r="O46" s="53"/>
      <c r="P46" s="53"/>
      <c r="Q46" s="53"/>
      <c r="R46" s="53"/>
      <c r="T46" s="62"/>
    </row>
    <row r="47" spans="1:21" ht="15" customHeight="1" x14ac:dyDescent="0.25">
      <c r="A47" s="61"/>
      <c r="D47" s="49"/>
      <c r="E47" s="49"/>
      <c r="F47" s="49"/>
      <c r="G47" s="49"/>
      <c r="H47" s="49"/>
      <c r="I47" s="49"/>
      <c r="J47" s="49"/>
      <c r="K47" s="49"/>
      <c r="N47" s="49"/>
      <c r="O47" s="49"/>
      <c r="P47" s="49"/>
      <c r="Q47" s="49"/>
      <c r="R47" s="49"/>
      <c r="S47" s="49"/>
      <c r="T47" s="62"/>
    </row>
    <row r="48" spans="1:21" ht="15" customHeight="1" x14ac:dyDescent="0.25">
      <c r="A48" s="61"/>
      <c r="D48" s="49"/>
      <c r="E48" s="49"/>
      <c r="F48" s="49"/>
      <c r="G48" s="49"/>
      <c r="H48" s="49"/>
      <c r="I48" s="49"/>
      <c r="J48" s="49"/>
      <c r="K48" s="49"/>
      <c r="N48" s="49"/>
      <c r="O48" s="49"/>
      <c r="P48" s="49"/>
      <c r="Q48" s="49"/>
      <c r="R48" s="49"/>
      <c r="S48" s="49"/>
      <c r="T48" s="62"/>
    </row>
    <row r="49" spans="1:20" ht="15" customHeight="1" x14ac:dyDescent="0.25">
      <c r="A49" s="61"/>
      <c r="T49" s="62"/>
    </row>
    <row r="50" spans="1:20" ht="15" customHeight="1" x14ac:dyDescent="0.25">
      <c r="A50" s="61"/>
      <c r="C50" s="49"/>
      <c r="T50" s="62"/>
    </row>
    <row r="51" spans="1:20" ht="15" customHeight="1" x14ac:dyDescent="0.25">
      <c r="A51" s="61"/>
      <c r="C51" s="49"/>
      <c r="T51" s="62"/>
    </row>
    <row r="52" spans="1:20" ht="15" customHeight="1" x14ac:dyDescent="0.25">
      <c r="A52" s="61"/>
      <c r="C52" s="49"/>
      <c r="T52" s="62"/>
    </row>
    <row r="53" spans="1:20" ht="15" customHeight="1" x14ac:dyDescent="0.25">
      <c r="A53" s="61"/>
      <c r="T53" s="62"/>
    </row>
    <row r="54" spans="1:20" x14ac:dyDescent="0.25">
      <c r="A54" s="61"/>
      <c r="T54" s="62"/>
    </row>
    <row r="55" spans="1:20" x14ac:dyDescent="0.25">
      <c r="A55" s="61"/>
      <c r="T55" s="62"/>
    </row>
    <row r="56" spans="1:20" x14ac:dyDescent="0.25">
      <c r="A56" s="61"/>
      <c r="T56" s="62"/>
    </row>
    <row r="57" spans="1:20" x14ac:dyDescent="0.25">
      <c r="A57" s="61"/>
      <c r="T57" s="62"/>
    </row>
    <row r="58" spans="1:20" x14ac:dyDescent="0.25">
      <c r="A58" s="61"/>
      <c r="T58" s="62"/>
    </row>
    <row r="59" spans="1:20" x14ac:dyDescent="0.25">
      <c r="A59" s="61"/>
      <c r="T59" s="62"/>
    </row>
    <row r="60" spans="1:20" x14ac:dyDescent="0.25">
      <c r="A60" s="61"/>
      <c r="T60" s="62"/>
    </row>
    <row r="61" spans="1:20" x14ac:dyDescent="0.25">
      <c r="A61" s="61"/>
      <c r="T61" s="62"/>
    </row>
    <row r="62" spans="1:20" ht="15.75" thickBot="1" x14ac:dyDescent="0.3">
      <c r="A62" s="61"/>
      <c r="T62" s="62"/>
    </row>
    <row r="63" spans="1:20" x14ac:dyDescent="0.25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</row>
  </sheetData>
  <mergeCells count="8">
    <mergeCell ref="C8:S8"/>
    <mergeCell ref="R12:S12"/>
    <mergeCell ref="I38:L38"/>
    <mergeCell ref="H19:T19"/>
    <mergeCell ref="R10:S10"/>
    <mergeCell ref="D35:T35"/>
    <mergeCell ref="O17:R17"/>
    <mergeCell ref="J22:L22"/>
  </mergeCells>
  <pageMargins left="0.59055118110236227" right="0.23622047244094491" top="0.39370078740157483" bottom="0.39370078740157483" header="0.31496062992125984" footer="0.31496062992125984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5"/>
  <sheetViews>
    <sheetView topLeftCell="A10" workbookViewId="0">
      <selection activeCell="G21" sqref="G21"/>
    </sheetView>
  </sheetViews>
  <sheetFormatPr defaultRowHeight="15" x14ac:dyDescent="0.25"/>
  <cols>
    <col min="1" max="1" width="4" style="1" customWidth="1"/>
    <col min="2" max="4" width="2.85546875" style="1" customWidth="1"/>
    <col min="5" max="5" width="10" style="1" customWidth="1"/>
    <col min="6" max="6" width="2.140625" style="1" customWidth="1"/>
    <col min="7" max="7" width="16.5703125" style="1" customWidth="1"/>
    <col min="8" max="8" width="11.28515625" style="1" customWidth="1"/>
    <col min="9" max="9" width="2.7109375" style="1" customWidth="1"/>
    <col min="10" max="10" width="14.140625" style="1" customWidth="1"/>
    <col min="11" max="11" width="6.42578125" style="1" customWidth="1"/>
    <col min="12" max="12" width="10" style="1" customWidth="1"/>
    <col min="13" max="13" width="7.140625" style="1" customWidth="1"/>
    <col min="14" max="14" width="0.140625" style="1" customWidth="1"/>
    <col min="15" max="15" width="2.85546875" style="1" customWidth="1"/>
    <col min="16" max="16" width="3.7109375" style="1" customWidth="1"/>
    <col min="17" max="16384" width="9.140625" style="1"/>
  </cols>
  <sheetData>
    <row r="1" spans="1:15" ht="1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</row>
    <row r="2" spans="1:15" ht="15" customHeight="1" x14ac:dyDescent="0.25">
      <c r="A2" s="61"/>
      <c r="B2" s="4" t="s">
        <v>108</v>
      </c>
      <c r="N2" s="8"/>
      <c r="O2" s="62"/>
    </row>
    <row r="3" spans="1:15" ht="15" customHeight="1" x14ac:dyDescent="0.25">
      <c r="A3" s="61"/>
      <c r="B3" s="4" t="s">
        <v>109</v>
      </c>
      <c r="N3" s="49"/>
      <c r="O3" s="62"/>
    </row>
    <row r="4" spans="1:15" ht="15" customHeight="1" x14ac:dyDescent="0.25">
      <c r="A4" s="61"/>
      <c r="B4" s="72" t="s">
        <v>110</v>
      </c>
      <c r="O4" s="62"/>
    </row>
    <row r="5" spans="1:15" ht="15" customHeight="1" x14ac:dyDescent="0.25">
      <c r="A5" s="61"/>
      <c r="B5" s="72" t="s">
        <v>111</v>
      </c>
      <c r="N5" s="8"/>
      <c r="O5" s="62"/>
    </row>
    <row r="6" spans="1:15" ht="15" customHeight="1" x14ac:dyDescent="0.25">
      <c r="A6" s="61"/>
      <c r="B6" s="72" t="s">
        <v>112</v>
      </c>
      <c r="N6" s="8"/>
      <c r="O6" s="62"/>
    </row>
    <row r="7" spans="1:15" ht="15" customHeight="1" x14ac:dyDescent="0.25">
      <c r="A7" s="61"/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"/>
      <c r="O7" s="62"/>
    </row>
    <row r="8" spans="1:15" ht="15" customHeight="1" x14ac:dyDescent="0.25">
      <c r="A8" s="61"/>
      <c r="B8" s="107" t="s">
        <v>132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8"/>
      <c r="O8" s="62"/>
    </row>
    <row r="9" spans="1:15" ht="7.5" customHeight="1" x14ac:dyDescent="0.25">
      <c r="A9" s="6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  <c r="O9" s="62"/>
    </row>
    <row r="10" spans="1:15" ht="15" customHeight="1" x14ac:dyDescent="0.25">
      <c r="A10" s="61"/>
      <c r="M10" s="8" t="s">
        <v>48</v>
      </c>
      <c r="O10" s="62"/>
    </row>
    <row r="11" spans="1:15" ht="6.75" customHeight="1" x14ac:dyDescent="0.25">
      <c r="A11" s="61"/>
      <c r="O11" s="62"/>
    </row>
    <row r="12" spans="1:15" ht="15" customHeight="1" x14ac:dyDescent="0.25">
      <c r="A12" s="113" t="s">
        <v>133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114"/>
    </row>
    <row r="13" spans="1:15" ht="15" customHeight="1" x14ac:dyDescent="0.25">
      <c r="A13" s="61"/>
      <c r="G13" s="49"/>
      <c r="H13" s="10"/>
      <c r="I13" s="10"/>
      <c r="J13" s="10"/>
      <c r="O13" s="62"/>
    </row>
    <row r="14" spans="1:15" ht="15" customHeight="1" x14ac:dyDescent="0.25">
      <c r="A14" s="61"/>
      <c r="B14" s="1" t="s">
        <v>49</v>
      </c>
      <c r="I14" s="10"/>
      <c r="O14" s="62"/>
    </row>
    <row r="15" spans="1:15" ht="15" customHeight="1" x14ac:dyDescent="0.25">
      <c r="A15" s="61"/>
      <c r="B15" s="1" t="s">
        <v>101</v>
      </c>
      <c r="C15" s="1" t="s">
        <v>41</v>
      </c>
      <c r="I15" s="10"/>
      <c r="O15" s="62"/>
    </row>
    <row r="16" spans="1:15" ht="15" customHeight="1" x14ac:dyDescent="0.25">
      <c r="A16" s="61"/>
      <c r="C16" s="1" t="s">
        <v>7</v>
      </c>
      <c r="D16" s="1" t="s">
        <v>16</v>
      </c>
      <c r="I16" s="10" t="s">
        <v>1</v>
      </c>
      <c r="J16" s="1" t="str">
        <f>INPUT!I12</f>
        <v>Muh.Israh</v>
      </c>
      <c r="O16" s="62"/>
    </row>
    <row r="17" spans="1:15" ht="15" customHeight="1" x14ac:dyDescent="0.25">
      <c r="A17" s="61"/>
      <c r="C17" s="1" t="s">
        <v>8</v>
      </c>
      <c r="D17" s="1" t="s">
        <v>98</v>
      </c>
      <c r="I17" s="10" t="s">
        <v>1</v>
      </c>
      <c r="J17" s="1" t="str">
        <f>INPUT!I13</f>
        <v>Djahuddin</v>
      </c>
      <c r="O17" s="62"/>
    </row>
    <row r="18" spans="1:15" ht="15" customHeight="1" x14ac:dyDescent="0.25">
      <c r="A18" s="61"/>
      <c r="C18" s="50" t="s">
        <v>9</v>
      </c>
      <c r="D18" s="1" t="s">
        <v>20</v>
      </c>
      <c r="I18" s="10" t="s">
        <v>1</v>
      </c>
      <c r="J18" s="1" t="str">
        <f>INPUT!I16</f>
        <v>7304092802980001</v>
      </c>
      <c r="O18" s="62"/>
    </row>
    <row r="19" spans="1:15" ht="15" customHeight="1" x14ac:dyDescent="0.25">
      <c r="A19" s="61"/>
      <c r="C19" s="50" t="s">
        <v>10</v>
      </c>
      <c r="D19" s="1" t="s">
        <v>19</v>
      </c>
      <c r="I19" s="10" t="s">
        <v>1</v>
      </c>
      <c r="J19" s="1" t="str">
        <f>INPUT!I15</f>
        <v>Jeneponto, 28 Februari 1998</v>
      </c>
      <c r="O19" s="62"/>
    </row>
    <row r="20" spans="1:15" ht="15" customHeight="1" x14ac:dyDescent="0.25">
      <c r="A20" s="61"/>
      <c r="C20" s="1" t="s">
        <v>11</v>
      </c>
      <c r="D20" s="1" t="s">
        <v>77</v>
      </c>
      <c r="I20" s="10" t="s">
        <v>1</v>
      </c>
      <c r="J20" s="1" t="str">
        <f>INPUT!I17</f>
        <v>Indonesia</v>
      </c>
      <c r="O20" s="62"/>
    </row>
    <row r="21" spans="1:15" ht="15" customHeight="1" x14ac:dyDescent="0.25">
      <c r="A21" s="61"/>
      <c r="C21" s="1" t="s">
        <v>12</v>
      </c>
      <c r="D21" s="1" t="s">
        <v>22</v>
      </c>
      <c r="I21" s="10" t="s">
        <v>1</v>
      </c>
      <c r="J21" s="1" t="str">
        <f>INPUT!I18</f>
        <v>Islam</v>
      </c>
      <c r="O21" s="62"/>
    </row>
    <row r="22" spans="1:15" ht="15" customHeight="1" x14ac:dyDescent="0.25">
      <c r="A22" s="61"/>
      <c r="C22" s="50" t="s">
        <v>13</v>
      </c>
      <c r="D22" s="1" t="s">
        <v>24</v>
      </c>
      <c r="I22" s="10" t="s">
        <v>1</v>
      </c>
      <c r="J22" s="1" t="str">
        <f>INPUT!I20</f>
        <v>Pelajar/Mahasiswa</v>
      </c>
      <c r="O22" s="62"/>
    </row>
    <row r="23" spans="1:15" ht="15" customHeight="1" x14ac:dyDescent="0.25">
      <c r="A23" s="61"/>
      <c r="C23" s="50" t="s">
        <v>14</v>
      </c>
      <c r="D23" s="1" t="s">
        <v>78</v>
      </c>
      <c r="I23" s="10" t="s">
        <v>1</v>
      </c>
      <c r="J23" s="89" t="str">
        <f>INPUT!I21</f>
        <v>Buntulu Desa Kampala</v>
      </c>
      <c r="K23" s="89"/>
      <c r="L23" s="89"/>
      <c r="M23" s="89"/>
      <c r="O23" s="62"/>
    </row>
    <row r="24" spans="1:15" ht="15" customHeight="1" x14ac:dyDescent="0.25">
      <c r="A24" s="61"/>
      <c r="C24" s="11"/>
      <c r="D24" s="11"/>
      <c r="I24" s="10"/>
      <c r="J24" s="89"/>
      <c r="K24" s="89"/>
      <c r="L24" s="89"/>
      <c r="M24" s="89"/>
      <c r="O24" s="62"/>
    </row>
    <row r="25" spans="1:15" ht="15" customHeight="1" x14ac:dyDescent="0.25">
      <c r="A25" s="61"/>
      <c r="B25" s="1" t="s">
        <v>102</v>
      </c>
      <c r="C25" s="1" t="s">
        <v>44</v>
      </c>
      <c r="I25" s="10"/>
      <c r="O25" s="62"/>
    </row>
    <row r="26" spans="1:15" ht="15" customHeight="1" x14ac:dyDescent="0.25">
      <c r="A26" s="61"/>
      <c r="C26" s="1" t="s">
        <v>7</v>
      </c>
      <c r="D26" s="1" t="s">
        <v>16</v>
      </c>
      <c r="I26" s="10" t="s">
        <v>1</v>
      </c>
      <c r="J26" s="11" t="str">
        <f>INPUT!Y12</f>
        <v>Niken Johanni Syufitri.J</v>
      </c>
      <c r="O26" s="62"/>
    </row>
    <row r="27" spans="1:15" ht="15" customHeight="1" x14ac:dyDescent="0.25">
      <c r="A27" s="61"/>
      <c r="C27" s="1" t="s">
        <v>8</v>
      </c>
      <c r="D27" s="1" t="s">
        <v>99</v>
      </c>
      <c r="I27" s="10" t="s">
        <v>1</v>
      </c>
      <c r="J27" s="11" t="str">
        <f>INPUT!Y13</f>
        <v>Ali Johan</v>
      </c>
      <c r="O27" s="62"/>
    </row>
    <row r="28" spans="1:15" ht="15" customHeight="1" x14ac:dyDescent="0.25">
      <c r="A28" s="61"/>
      <c r="C28" s="50" t="s">
        <v>9</v>
      </c>
      <c r="D28" s="1" t="s">
        <v>20</v>
      </c>
      <c r="I28" s="10" t="s">
        <v>1</v>
      </c>
      <c r="J28" s="11" t="str">
        <f>INPUT!Y15</f>
        <v>7304034107000016</v>
      </c>
      <c r="O28" s="62"/>
    </row>
    <row r="29" spans="1:15" ht="15" customHeight="1" x14ac:dyDescent="0.25">
      <c r="A29" s="61"/>
      <c r="C29" s="50" t="s">
        <v>10</v>
      </c>
      <c r="D29" s="1" t="s">
        <v>19</v>
      </c>
      <c r="I29" s="10" t="s">
        <v>1</v>
      </c>
      <c r="J29" s="11" t="str">
        <f>INPUT!Y14</f>
        <v>Jeneponto, 01 Juli 2000</v>
      </c>
      <c r="O29" s="62"/>
    </row>
    <row r="30" spans="1:15" ht="15" customHeight="1" x14ac:dyDescent="0.25">
      <c r="A30" s="61"/>
      <c r="C30" s="1" t="s">
        <v>11</v>
      </c>
      <c r="D30" s="1" t="s">
        <v>77</v>
      </c>
      <c r="I30" s="10" t="s">
        <v>1</v>
      </c>
      <c r="J30" s="11" t="str">
        <f>INPUT!Y16</f>
        <v>Indonesia</v>
      </c>
      <c r="O30" s="62"/>
    </row>
    <row r="31" spans="1:15" ht="15" customHeight="1" x14ac:dyDescent="0.25">
      <c r="A31" s="61"/>
      <c r="C31" s="1" t="s">
        <v>12</v>
      </c>
      <c r="D31" s="1" t="s">
        <v>22</v>
      </c>
      <c r="I31" s="10" t="s">
        <v>1</v>
      </c>
      <c r="J31" s="11" t="str">
        <f>INPUT!Y17</f>
        <v>Islam</v>
      </c>
      <c r="O31" s="62"/>
    </row>
    <row r="32" spans="1:15" ht="15" customHeight="1" x14ac:dyDescent="0.25">
      <c r="A32" s="61"/>
      <c r="C32" s="50" t="s">
        <v>13</v>
      </c>
      <c r="D32" s="1" t="s">
        <v>24</v>
      </c>
      <c r="I32" s="10" t="s">
        <v>1</v>
      </c>
      <c r="J32" s="11" t="str">
        <f>INPUT!Y19</f>
        <v>Belum/Tidak Bekerja</v>
      </c>
      <c r="O32" s="62"/>
    </row>
    <row r="33" spans="1:15" ht="15" customHeight="1" x14ac:dyDescent="0.25">
      <c r="A33" s="61"/>
      <c r="C33" s="50" t="s">
        <v>14</v>
      </c>
      <c r="D33" s="1" t="s">
        <v>26</v>
      </c>
      <c r="I33" s="10" t="s">
        <v>1</v>
      </c>
      <c r="J33" s="89" t="str">
        <f>INPUT!Y20</f>
        <v>Jl. Tembakau No.4 Bontosunggu Desa/Kelurahan Empoang Kec.Binamu</v>
      </c>
      <c r="K33" s="89"/>
      <c r="L33" s="89"/>
      <c r="M33" s="89"/>
      <c r="O33" s="62"/>
    </row>
    <row r="34" spans="1:15" ht="33" customHeight="1" x14ac:dyDescent="0.25">
      <c r="A34" s="61"/>
      <c r="I34" s="10"/>
      <c r="J34" s="89"/>
      <c r="K34" s="89"/>
      <c r="L34" s="89"/>
      <c r="M34" s="89"/>
      <c r="O34" s="62"/>
    </row>
    <row r="35" spans="1:15" ht="15" customHeight="1" x14ac:dyDescent="0.25">
      <c r="A35" s="61"/>
      <c r="C35" s="1" t="s">
        <v>100</v>
      </c>
      <c r="I35" s="10"/>
      <c r="O35" s="62"/>
    </row>
    <row r="36" spans="1:15" ht="15" customHeight="1" x14ac:dyDescent="0.25">
      <c r="A36" s="61"/>
      <c r="B36" s="1" t="s">
        <v>134</v>
      </c>
      <c r="I36" s="10"/>
      <c r="O36" s="62"/>
    </row>
    <row r="37" spans="1:15" ht="6.75" customHeight="1" x14ac:dyDescent="0.25">
      <c r="A37" s="61"/>
      <c r="I37" s="10"/>
      <c r="O37" s="62"/>
    </row>
    <row r="38" spans="1:15" ht="15" customHeight="1" x14ac:dyDescent="0.25">
      <c r="A38" s="61"/>
      <c r="B38" s="11" t="s">
        <v>45</v>
      </c>
      <c r="I38" s="10"/>
      <c r="O38" s="62"/>
    </row>
    <row r="39" spans="1:15" ht="15" customHeight="1" x14ac:dyDescent="0.25">
      <c r="A39" s="61"/>
      <c r="I39" s="10"/>
      <c r="O39" s="62"/>
    </row>
    <row r="40" spans="1:15" ht="15" customHeight="1" x14ac:dyDescent="0.25">
      <c r="A40" s="61"/>
      <c r="J40" s="49" t="s">
        <v>36</v>
      </c>
      <c r="K40" s="88">
        <f>INPUT!F3</f>
        <v>46265</v>
      </c>
      <c r="L40" s="88"/>
      <c r="M40" s="88"/>
      <c r="O40" s="62"/>
    </row>
    <row r="41" spans="1:15" ht="15" customHeight="1" x14ac:dyDescent="0.25">
      <c r="A41" s="61"/>
      <c r="O41" s="62"/>
    </row>
    <row r="42" spans="1:15" ht="15" customHeight="1" x14ac:dyDescent="0.25">
      <c r="A42" s="61"/>
      <c r="E42" s="86" t="s">
        <v>47</v>
      </c>
      <c r="F42" s="86"/>
      <c r="G42" s="86"/>
      <c r="J42" s="86" t="s">
        <v>46</v>
      </c>
      <c r="K42" s="86"/>
      <c r="L42" s="86"/>
      <c r="O42" s="62"/>
    </row>
    <row r="43" spans="1:15" ht="15" customHeight="1" x14ac:dyDescent="0.25">
      <c r="A43" s="61"/>
      <c r="O43" s="62"/>
    </row>
    <row r="44" spans="1:15" ht="15" customHeight="1" x14ac:dyDescent="0.25">
      <c r="A44" s="61"/>
      <c r="O44" s="62"/>
    </row>
    <row r="45" spans="1:15" ht="15" customHeight="1" x14ac:dyDescent="0.25">
      <c r="A45" s="61"/>
      <c r="O45" s="62"/>
    </row>
    <row r="46" spans="1:15" ht="15" customHeight="1" x14ac:dyDescent="0.25">
      <c r="A46" s="61"/>
      <c r="E46" s="87" t="str">
        <f>J16</f>
        <v>Muh.Israh</v>
      </c>
      <c r="F46" s="87"/>
      <c r="G46" s="87"/>
      <c r="J46" s="87" t="str">
        <f>J26</f>
        <v>Niken Johanni Syufitri.J</v>
      </c>
      <c r="K46" s="87"/>
      <c r="L46" s="87"/>
      <c r="O46" s="62"/>
    </row>
    <row r="47" spans="1:15" ht="15" customHeight="1" x14ac:dyDescent="0.25">
      <c r="A47" s="61"/>
      <c r="O47" s="62"/>
    </row>
    <row r="48" spans="1:15" ht="15" customHeight="1" x14ac:dyDescent="0.25">
      <c r="A48" s="61"/>
      <c r="O48" s="62"/>
    </row>
    <row r="49" spans="1:15" x14ac:dyDescent="0.25">
      <c r="A49" s="61"/>
      <c r="O49" s="62"/>
    </row>
    <row r="50" spans="1:15" x14ac:dyDescent="0.25">
      <c r="A50" s="61"/>
      <c r="O50" s="62"/>
    </row>
    <row r="51" spans="1:15" x14ac:dyDescent="0.25">
      <c r="A51" s="61"/>
      <c r="O51" s="62"/>
    </row>
    <row r="52" spans="1:15" x14ac:dyDescent="0.25">
      <c r="A52" s="61"/>
      <c r="O52" s="62"/>
    </row>
    <row r="53" spans="1:15" x14ac:dyDescent="0.25">
      <c r="A53" s="61"/>
      <c r="O53" s="62"/>
    </row>
    <row r="54" spans="1:15" x14ac:dyDescent="0.25">
      <c r="A54" s="61"/>
      <c r="O54" s="62"/>
    </row>
    <row r="55" spans="1:15" ht="15.75" thickBot="1" x14ac:dyDescent="0.3">
      <c r="A55" s="63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5"/>
    </row>
  </sheetData>
  <mergeCells count="9">
    <mergeCell ref="B8:M8"/>
    <mergeCell ref="A12:O12"/>
    <mergeCell ref="E42:G42"/>
    <mergeCell ref="K40:M40"/>
    <mergeCell ref="E46:G46"/>
    <mergeCell ref="J42:L42"/>
    <mergeCell ref="J46:L46"/>
    <mergeCell ref="J33:M34"/>
    <mergeCell ref="J23:M24"/>
  </mergeCells>
  <pageMargins left="0.59055118110236227" right="0.23622047244094491" top="0.39370078740157483" bottom="0.39370078740157483" header="0.31496062992125984" footer="0.31496062992125984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tabSelected="1" topLeftCell="A4" zoomScale="90" zoomScaleNormal="90" workbookViewId="0">
      <selection activeCell="J56" sqref="J56:K56"/>
    </sheetView>
  </sheetViews>
  <sheetFormatPr defaultRowHeight="15" x14ac:dyDescent="0.25"/>
  <cols>
    <col min="1" max="1" width="4.140625" style="1" customWidth="1"/>
    <col min="2" max="2" width="3.28515625" style="1" customWidth="1"/>
    <col min="3" max="3" width="2.85546875" style="1" customWidth="1"/>
    <col min="4" max="5" width="10" style="1" customWidth="1"/>
    <col min="6" max="6" width="3.42578125" style="1" customWidth="1"/>
    <col min="7" max="7" width="15.85546875" style="1" customWidth="1"/>
    <col min="8" max="8" width="2.140625" style="1" customWidth="1"/>
    <col min="9" max="9" width="13.42578125" style="1" customWidth="1"/>
    <col min="10" max="10" width="12.85546875" style="1" customWidth="1"/>
    <col min="11" max="11" width="14.28515625" style="1" customWidth="1"/>
    <col min="12" max="12" width="2.7109375" style="1" customWidth="1"/>
    <col min="13" max="14" width="3.5703125" style="1" customWidth="1"/>
    <col min="15" max="16384" width="9.140625" style="1"/>
  </cols>
  <sheetData>
    <row r="1" spans="1:14" ht="15" customHeight="1" x14ac:dyDescent="0.2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5" customHeight="1" x14ac:dyDescent="0.25">
      <c r="A2" s="61"/>
      <c r="B2" s="4" t="s">
        <v>108</v>
      </c>
      <c r="N2" s="62"/>
    </row>
    <row r="3" spans="1:14" ht="15" customHeight="1" x14ac:dyDescent="0.25">
      <c r="A3" s="61"/>
      <c r="B3" s="4" t="s">
        <v>109</v>
      </c>
      <c r="N3" s="62"/>
    </row>
    <row r="4" spans="1:14" ht="15" customHeight="1" x14ac:dyDescent="0.25">
      <c r="A4" s="61"/>
      <c r="B4" s="72" t="s">
        <v>110</v>
      </c>
      <c r="N4" s="62"/>
    </row>
    <row r="5" spans="1:14" ht="15" customHeight="1" x14ac:dyDescent="0.25">
      <c r="A5" s="61"/>
      <c r="B5" s="72" t="s">
        <v>111</v>
      </c>
      <c r="N5" s="62"/>
    </row>
    <row r="6" spans="1:14" ht="14.1" customHeight="1" x14ac:dyDescent="0.25">
      <c r="A6" s="61"/>
      <c r="B6" s="72" t="s">
        <v>112</v>
      </c>
      <c r="L6" s="8"/>
      <c r="N6" s="62"/>
    </row>
    <row r="7" spans="1:14" ht="14.1" customHeight="1" x14ac:dyDescent="0.25">
      <c r="A7" s="61"/>
      <c r="K7" s="8"/>
      <c r="L7" s="49"/>
      <c r="N7" s="62"/>
    </row>
    <row r="8" spans="1:14" ht="15.75" customHeight="1" x14ac:dyDescent="0.25">
      <c r="A8" s="61"/>
      <c r="B8" s="84" t="s">
        <v>135</v>
      </c>
      <c r="C8" s="84"/>
      <c r="D8" s="84"/>
      <c r="E8" s="84"/>
      <c r="F8" s="84"/>
      <c r="G8" s="84"/>
      <c r="H8" s="84"/>
      <c r="I8" s="84"/>
      <c r="J8" s="84"/>
      <c r="K8" s="84"/>
      <c r="L8" s="49"/>
      <c r="N8" s="62"/>
    </row>
    <row r="9" spans="1:14" ht="7.5" customHeight="1" x14ac:dyDescent="0.25">
      <c r="A9" s="61"/>
      <c r="B9" s="10"/>
      <c r="C9" s="10"/>
      <c r="D9" s="10"/>
      <c r="E9" s="10"/>
      <c r="F9" s="10"/>
      <c r="G9" s="10"/>
      <c r="H9" s="10"/>
      <c r="I9" s="10"/>
      <c r="J9" s="10"/>
      <c r="K9" s="10"/>
      <c r="L9" s="49"/>
      <c r="N9" s="62"/>
    </row>
    <row r="10" spans="1:14" ht="14.1" customHeight="1" x14ac:dyDescent="0.25">
      <c r="A10" s="61"/>
      <c r="K10" s="8" t="s">
        <v>48</v>
      </c>
      <c r="N10" s="62"/>
    </row>
    <row r="11" spans="1:14" ht="8.25" customHeight="1" x14ac:dyDescent="0.25">
      <c r="A11" s="61"/>
      <c r="K11" s="8"/>
      <c r="N11" s="62"/>
    </row>
    <row r="12" spans="1:14" ht="14.1" customHeight="1" x14ac:dyDescent="0.25">
      <c r="A12" s="61"/>
      <c r="B12" s="85" t="s">
        <v>136</v>
      </c>
      <c r="C12" s="85"/>
      <c r="D12" s="85"/>
      <c r="E12" s="85"/>
      <c r="F12" s="85"/>
      <c r="G12" s="85"/>
      <c r="H12" s="85"/>
      <c r="I12" s="85"/>
      <c r="J12" s="85"/>
      <c r="K12" s="85"/>
      <c r="N12" s="62"/>
    </row>
    <row r="13" spans="1:14" ht="14.1" customHeight="1" x14ac:dyDescent="0.25">
      <c r="A13" s="61"/>
      <c r="N13" s="62"/>
    </row>
    <row r="14" spans="1:14" ht="14.1" customHeight="1" x14ac:dyDescent="0.25">
      <c r="A14" s="61"/>
      <c r="B14" s="1" t="s">
        <v>49</v>
      </c>
      <c r="N14" s="62"/>
    </row>
    <row r="15" spans="1:14" ht="14.1" customHeight="1" x14ac:dyDescent="0.25">
      <c r="A15" s="61"/>
      <c r="B15" s="1" t="s">
        <v>101</v>
      </c>
      <c r="C15" s="1" t="s">
        <v>7</v>
      </c>
      <c r="D15" s="1" t="s">
        <v>16</v>
      </c>
      <c r="H15" s="10" t="s">
        <v>1</v>
      </c>
      <c r="I15" s="11" t="str">
        <f>INPUT!Q12</f>
        <v>Djahuddin, SE.Sy</v>
      </c>
      <c r="N15" s="62"/>
    </row>
    <row r="16" spans="1:14" ht="14.1" customHeight="1" x14ac:dyDescent="0.25">
      <c r="A16" s="61"/>
      <c r="C16" s="1" t="s">
        <v>8</v>
      </c>
      <c r="D16" s="1" t="s">
        <v>98</v>
      </c>
      <c r="H16" s="10" t="s">
        <v>1</v>
      </c>
      <c r="I16" s="11" t="str">
        <f>INPUT!Q13</f>
        <v xml:space="preserve">Ku Lang </v>
      </c>
      <c r="K16" s="54"/>
      <c r="N16" s="62"/>
    </row>
    <row r="17" spans="1:14" ht="14.1" customHeight="1" x14ac:dyDescent="0.25">
      <c r="A17" s="61"/>
      <c r="C17" s="50" t="s">
        <v>9</v>
      </c>
      <c r="D17" s="1" t="s">
        <v>20</v>
      </c>
      <c r="H17" s="10" t="s">
        <v>1</v>
      </c>
      <c r="I17" s="11" t="str">
        <f>INPUT!Q15</f>
        <v>7304092101730001</v>
      </c>
      <c r="K17" s="54"/>
      <c r="N17" s="62"/>
    </row>
    <row r="18" spans="1:14" ht="14.1" customHeight="1" x14ac:dyDescent="0.25">
      <c r="A18" s="61"/>
      <c r="C18" s="50" t="s">
        <v>10</v>
      </c>
      <c r="D18" s="1" t="s">
        <v>19</v>
      </c>
      <c r="H18" s="10" t="s">
        <v>1</v>
      </c>
      <c r="I18" s="11" t="str">
        <f>INPUT!Q14</f>
        <v>Buntulu, 21 Januari 1973</v>
      </c>
      <c r="K18" s="54"/>
      <c r="N18" s="62"/>
    </row>
    <row r="19" spans="1:14" ht="14.1" customHeight="1" x14ac:dyDescent="0.25">
      <c r="A19" s="61"/>
      <c r="C19" s="1" t="s">
        <v>11</v>
      </c>
      <c r="D19" s="1" t="s">
        <v>77</v>
      </c>
      <c r="H19" s="10" t="s">
        <v>1</v>
      </c>
      <c r="I19" s="11" t="str">
        <f>INPUT!Q16</f>
        <v xml:space="preserve">Indonesia </v>
      </c>
      <c r="N19" s="62"/>
    </row>
    <row r="20" spans="1:14" ht="14.1" customHeight="1" x14ac:dyDescent="0.25">
      <c r="A20" s="61"/>
      <c r="C20" s="1" t="s">
        <v>12</v>
      </c>
      <c r="D20" s="1" t="s">
        <v>22</v>
      </c>
      <c r="H20" s="10" t="s">
        <v>1</v>
      </c>
      <c r="I20" s="11" t="str">
        <f>INPUT!Q17</f>
        <v>Islam</v>
      </c>
      <c r="N20" s="62"/>
    </row>
    <row r="21" spans="1:14" ht="14.1" customHeight="1" x14ac:dyDescent="0.25">
      <c r="A21" s="61"/>
      <c r="C21" s="50" t="s">
        <v>13</v>
      </c>
      <c r="D21" s="1" t="s">
        <v>24</v>
      </c>
      <c r="H21" s="10" t="s">
        <v>1</v>
      </c>
      <c r="I21" s="11" t="str">
        <f>INPUT!Q19</f>
        <v>PNS</v>
      </c>
      <c r="K21" s="54"/>
      <c r="L21" s="54"/>
      <c r="M21" s="54"/>
      <c r="N21" s="82"/>
    </row>
    <row r="22" spans="1:14" ht="14.1" customHeight="1" x14ac:dyDescent="0.25">
      <c r="A22" s="61"/>
      <c r="C22" s="50" t="s">
        <v>14</v>
      </c>
      <c r="D22" s="1" t="s">
        <v>26</v>
      </c>
      <c r="H22" s="10" t="s">
        <v>1</v>
      </c>
      <c r="I22" s="11" t="str">
        <f>INPUT!Q20</f>
        <v>Buntulu Desa Kampala</v>
      </c>
      <c r="K22" s="54"/>
      <c r="N22" s="62"/>
    </row>
    <row r="23" spans="1:14" ht="14.1" customHeight="1" x14ac:dyDescent="0.25">
      <c r="A23" s="61"/>
      <c r="C23" s="50"/>
      <c r="H23" s="10"/>
      <c r="I23" s="11"/>
      <c r="N23" s="62"/>
    </row>
    <row r="24" spans="1:14" ht="14.1" customHeight="1" x14ac:dyDescent="0.25">
      <c r="A24" s="61"/>
      <c r="B24" s="1" t="s">
        <v>102</v>
      </c>
      <c r="C24" s="1" t="s">
        <v>7</v>
      </c>
      <c r="D24" s="1" t="s">
        <v>16</v>
      </c>
      <c r="H24" s="10" t="s">
        <v>1</v>
      </c>
      <c r="I24" s="11" t="str">
        <f>INPUT!Q23</f>
        <v>Sukmawati</v>
      </c>
      <c r="N24" s="62"/>
    </row>
    <row r="25" spans="1:14" ht="14.1" customHeight="1" x14ac:dyDescent="0.25">
      <c r="A25" s="61"/>
      <c r="C25" s="1" t="s">
        <v>8</v>
      </c>
      <c r="D25" s="1" t="s">
        <v>99</v>
      </c>
      <c r="H25" s="10" t="s">
        <v>1</v>
      </c>
      <c r="I25" s="11" t="str">
        <f>INPUT!Q24</f>
        <v>Nusi</v>
      </c>
      <c r="K25" s="54"/>
      <c r="L25" s="54"/>
      <c r="M25" s="54"/>
      <c r="N25" s="62"/>
    </row>
    <row r="26" spans="1:14" ht="14.1" customHeight="1" x14ac:dyDescent="0.25">
      <c r="A26" s="61"/>
      <c r="C26" s="50" t="s">
        <v>9</v>
      </c>
      <c r="D26" s="1" t="s">
        <v>20</v>
      </c>
      <c r="H26" s="10" t="s">
        <v>1</v>
      </c>
      <c r="I26" s="11" t="str">
        <f>INPUT!Q26</f>
        <v>7304094107750008</v>
      </c>
      <c r="K26" s="54"/>
      <c r="L26" s="54"/>
      <c r="M26" s="54"/>
      <c r="N26" s="62"/>
    </row>
    <row r="27" spans="1:14" ht="14.1" customHeight="1" x14ac:dyDescent="0.25">
      <c r="A27" s="61"/>
      <c r="C27" s="50" t="s">
        <v>10</v>
      </c>
      <c r="D27" s="1" t="s">
        <v>19</v>
      </c>
      <c r="H27" s="10" t="s">
        <v>1</v>
      </c>
      <c r="I27" s="11" t="str">
        <f>INPUT!Q25</f>
        <v>Borong Bilalang</v>
      </c>
      <c r="K27" s="54"/>
      <c r="L27" s="54"/>
      <c r="M27" s="54"/>
      <c r="N27" s="62"/>
    </row>
    <row r="28" spans="1:14" ht="14.1" customHeight="1" x14ac:dyDescent="0.25">
      <c r="A28" s="61"/>
      <c r="C28" s="1" t="s">
        <v>11</v>
      </c>
      <c r="D28" s="1" t="s">
        <v>77</v>
      </c>
      <c r="H28" s="10" t="s">
        <v>1</v>
      </c>
      <c r="I28" s="11" t="str">
        <f>INPUT!Q27</f>
        <v>Indonesia</v>
      </c>
      <c r="N28" s="62"/>
    </row>
    <row r="29" spans="1:14" ht="14.1" customHeight="1" x14ac:dyDescent="0.25">
      <c r="A29" s="61"/>
      <c r="C29" s="1" t="s">
        <v>12</v>
      </c>
      <c r="D29" s="1" t="s">
        <v>22</v>
      </c>
      <c r="H29" s="10" t="s">
        <v>1</v>
      </c>
      <c r="I29" s="11" t="str">
        <f>INPUT!Q28</f>
        <v>Islam</v>
      </c>
      <c r="N29" s="62"/>
    </row>
    <row r="30" spans="1:14" ht="14.1" customHeight="1" x14ac:dyDescent="0.25">
      <c r="A30" s="61"/>
      <c r="C30" s="50" t="s">
        <v>13</v>
      </c>
      <c r="D30" s="1" t="s">
        <v>24</v>
      </c>
      <c r="H30" s="10" t="s">
        <v>1</v>
      </c>
      <c r="I30" s="11" t="str">
        <f>INPUT!Q30</f>
        <v>IRT</v>
      </c>
      <c r="K30" s="54"/>
      <c r="L30" s="54"/>
      <c r="M30" s="54"/>
      <c r="N30" s="62"/>
    </row>
    <row r="31" spans="1:14" ht="14.1" customHeight="1" x14ac:dyDescent="0.25">
      <c r="A31" s="61"/>
      <c r="C31" s="50" t="s">
        <v>14</v>
      </c>
      <c r="D31" s="1" t="s">
        <v>26</v>
      </c>
      <c r="H31" s="10" t="s">
        <v>1</v>
      </c>
      <c r="I31" s="11" t="str">
        <f>INPUT!Q31</f>
        <v>Buntulu Desa Kampala</v>
      </c>
      <c r="N31" s="62"/>
    </row>
    <row r="32" spans="1:14" ht="14.1" customHeight="1" x14ac:dyDescent="0.25">
      <c r="A32" s="61"/>
      <c r="H32" s="10"/>
      <c r="I32" s="11"/>
      <c r="N32" s="62"/>
    </row>
    <row r="33" spans="1:14" ht="14.1" customHeight="1" x14ac:dyDescent="0.25">
      <c r="A33" s="61"/>
      <c r="B33" s="1" t="s">
        <v>137</v>
      </c>
      <c r="I33" s="11"/>
      <c r="N33" s="62"/>
    </row>
    <row r="34" spans="1:14" ht="14.1" customHeight="1" x14ac:dyDescent="0.25">
      <c r="A34" s="61"/>
      <c r="C34" s="1" t="s">
        <v>7</v>
      </c>
      <c r="D34" s="1" t="s">
        <v>16</v>
      </c>
      <c r="H34" s="10" t="s">
        <v>1</v>
      </c>
      <c r="I34" s="11" t="str">
        <f>INPUT!I12</f>
        <v>Muh.Israh</v>
      </c>
      <c r="N34" s="62"/>
    </row>
    <row r="35" spans="1:14" ht="14.1" customHeight="1" x14ac:dyDescent="0.25">
      <c r="A35" s="61"/>
      <c r="C35" s="1" t="s">
        <v>8</v>
      </c>
      <c r="D35" s="1" t="s">
        <v>98</v>
      </c>
      <c r="H35" s="10" t="s">
        <v>1</v>
      </c>
      <c r="I35" s="11" t="str">
        <f>INPUT!I13</f>
        <v>Djahuddin</v>
      </c>
      <c r="N35" s="62"/>
    </row>
    <row r="36" spans="1:14" ht="14.1" customHeight="1" x14ac:dyDescent="0.25">
      <c r="A36" s="61"/>
      <c r="C36" s="50" t="s">
        <v>9</v>
      </c>
      <c r="D36" s="1" t="s">
        <v>20</v>
      </c>
      <c r="H36" s="10" t="s">
        <v>1</v>
      </c>
      <c r="I36" s="11" t="str">
        <f>INPUT!I16</f>
        <v>7304092802980001</v>
      </c>
      <c r="N36" s="62"/>
    </row>
    <row r="37" spans="1:14" ht="14.1" customHeight="1" x14ac:dyDescent="0.25">
      <c r="A37" s="61"/>
      <c r="C37" s="50" t="s">
        <v>10</v>
      </c>
      <c r="D37" s="1" t="s">
        <v>19</v>
      </c>
      <c r="H37" s="10" t="s">
        <v>1</v>
      </c>
      <c r="I37" s="11" t="str">
        <f>INPUT!I15</f>
        <v>Jeneponto, 28 Februari 1998</v>
      </c>
      <c r="N37" s="62"/>
    </row>
    <row r="38" spans="1:14" ht="14.1" customHeight="1" x14ac:dyDescent="0.25">
      <c r="A38" s="61"/>
      <c r="C38" s="1" t="s">
        <v>11</v>
      </c>
      <c r="D38" s="1" t="s">
        <v>77</v>
      </c>
      <c r="H38" s="10" t="s">
        <v>1</v>
      </c>
      <c r="I38" s="11" t="str">
        <f>INPUT!I17</f>
        <v>Indonesia</v>
      </c>
      <c r="N38" s="62"/>
    </row>
    <row r="39" spans="1:14" ht="14.1" customHeight="1" x14ac:dyDescent="0.25">
      <c r="A39" s="61"/>
      <c r="C39" s="1" t="s">
        <v>12</v>
      </c>
      <c r="D39" s="1" t="s">
        <v>22</v>
      </c>
      <c r="H39" s="10" t="s">
        <v>1</v>
      </c>
      <c r="I39" s="11" t="str">
        <f>INPUT!I18</f>
        <v>Islam</v>
      </c>
      <c r="N39" s="62"/>
    </row>
    <row r="40" spans="1:14" ht="14.1" customHeight="1" x14ac:dyDescent="0.25">
      <c r="A40" s="61"/>
      <c r="C40" s="50" t="s">
        <v>13</v>
      </c>
      <c r="D40" s="1" t="s">
        <v>24</v>
      </c>
      <c r="H40" s="10" t="s">
        <v>1</v>
      </c>
      <c r="I40" s="11" t="str">
        <f>INPUT!I20</f>
        <v>Pelajar/Mahasiswa</v>
      </c>
      <c r="J40" s="48"/>
      <c r="N40" s="62"/>
    </row>
    <row r="41" spans="1:14" ht="14.1" customHeight="1" x14ac:dyDescent="0.25">
      <c r="A41" s="61"/>
      <c r="C41" s="50" t="s">
        <v>14</v>
      </c>
      <c r="D41" s="1" t="s">
        <v>78</v>
      </c>
      <c r="H41" s="10" t="s">
        <v>1</v>
      </c>
      <c r="I41" s="11" t="str">
        <f>INPUT!I21</f>
        <v>Buntulu Desa Kampala</v>
      </c>
      <c r="N41" s="62"/>
    </row>
    <row r="42" spans="1:14" ht="14.1" customHeight="1" x14ac:dyDescent="0.25">
      <c r="A42" s="61"/>
      <c r="H42" s="10"/>
      <c r="I42" s="11"/>
      <c r="N42" s="62"/>
    </row>
    <row r="43" spans="1:14" ht="14.1" customHeight="1" x14ac:dyDescent="0.25">
      <c r="A43" s="61"/>
      <c r="B43" s="1" t="s">
        <v>138</v>
      </c>
      <c r="I43" s="11"/>
      <c r="N43" s="62"/>
    </row>
    <row r="44" spans="1:14" ht="14.1" customHeight="1" x14ac:dyDescent="0.25">
      <c r="A44" s="61"/>
      <c r="C44" s="1" t="s">
        <v>7</v>
      </c>
      <c r="D44" s="1" t="s">
        <v>16</v>
      </c>
      <c r="H44" s="10" t="s">
        <v>1</v>
      </c>
      <c r="I44" s="11" t="str">
        <f>INPUT!Y12</f>
        <v>Niken Johanni Syufitri.J</v>
      </c>
      <c r="N44" s="62"/>
    </row>
    <row r="45" spans="1:14" ht="14.1" customHeight="1" x14ac:dyDescent="0.25">
      <c r="A45" s="61"/>
      <c r="C45" s="1" t="s">
        <v>8</v>
      </c>
      <c r="D45" s="1" t="s">
        <v>99</v>
      </c>
      <c r="H45" s="10" t="s">
        <v>1</v>
      </c>
      <c r="I45" s="11" t="str">
        <f>INPUT!Y13</f>
        <v>Ali Johan</v>
      </c>
      <c r="N45" s="62"/>
    </row>
    <row r="46" spans="1:14" ht="14.1" customHeight="1" x14ac:dyDescent="0.25">
      <c r="A46" s="61"/>
      <c r="C46" s="50" t="s">
        <v>9</v>
      </c>
      <c r="D46" s="1" t="s">
        <v>20</v>
      </c>
      <c r="H46" s="10" t="s">
        <v>1</v>
      </c>
      <c r="I46" s="11" t="str">
        <f>INPUT!Y15</f>
        <v>7304034107000016</v>
      </c>
      <c r="N46" s="62"/>
    </row>
    <row r="47" spans="1:14" ht="14.1" customHeight="1" x14ac:dyDescent="0.25">
      <c r="A47" s="61"/>
      <c r="C47" s="50" t="s">
        <v>10</v>
      </c>
      <c r="D47" s="1" t="s">
        <v>19</v>
      </c>
      <c r="H47" s="10" t="s">
        <v>1</v>
      </c>
      <c r="I47" s="11" t="str">
        <f>INPUT!Y14</f>
        <v>Jeneponto, 01 Juli 2000</v>
      </c>
      <c r="N47" s="62"/>
    </row>
    <row r="48" spans="1:14" ht="14.1" customHeight="1" x14ac:dyDescent="0.25">
      <c r="A48" s="61"/>
      <c r="C48" s="1" t="s">
        <v>11</v>
      </c>
      <c r="D48" s="1" t="s">
        <v>77</v>
      </c>
      <c r="H48" s="10" t="s">
        <v>1</v>
      </c>
      <c r="I48" s="11" t="str">
        <f>INPUT!Y16</f>
        <v>Indonesia</v>
      </c>
      <c r="N48" s="62"/>
    </row>
    <row r="49" spans="1:14" ht="14.1" customHeight="1" x14ac:dyDescent="0.25">
      <c r="A49" s="61"/>
      <c r="C49" s="1" t="s">
        <v>12</v>
      </c>
      <c r="D49" s="1" t="s">
        <v>22</v>
      </c>
      <c r="H49" s="10" t="s">
        <v>1</v>
      </c>
      <c r="I49" s="11" t="str">
        <f>INPUT!Y17</f>
        <v>Islam</v>
      </c>
      <c r="N49" s="62"/>
    </row>
    <row r="50" spans="1:14" ht="14.1" customHeight="1" x14ac:dyDescent="0.25">
      <c r="A50" s="61"/>
      <c r="C50" s="50" t="s">
        <v>13</v>
      </c>
      <c r="D50" s="1" t="s">
        <v>24</v>
      </c>
      <c r="H50" s="10" t="s">
        <v>1</v>
      </c>
      <c r="I50" s="11" t="str">
        <f>INPUT!Y19</f>
        <v>Belum/Tidak Bekerja</v>
      </c>
      <c r="J50" s="48"/>
      <c r="N50" s="62"/>
    </row>
    <row r="51" spans="1:14" ht="14.1" customHeight="1" x14ac:dyDescent="0.25">
      <c r="A51" s="61"/>
      <c r="C51" s="50" t="s">
        <v>14</v>
      </c>
      <c r="D51" s="1" t="s">
        <v>78</v>
      </c>
      <c r="H51" s="10" t="s">
        <v>1</v>
      </c>
      <c r="I51" s="89" t="str">
        <f>INPUT!Y20</f>
        <v>Jl. Tembakau No.4 Bontosunggu Desa/Kelurahan Empoang Kec.Binamu</v>
      </c>
      <c r="J51" s="89"/>
      <c r="K51" s="89"/>
      <c r="N51" s="62"/>
    </row>
    <row r="52" spans="1:14" ht="19.5" customHeight="1" x14ac:dyDescent="0.25">
      <c r="A52" s="61"/>
      <c r="H52" s="10"/>
      <c r="I52" s="89"/>
      <c r="J52" s="89"/>
      <c r="K52" s="89"/>
      <c r="N52" s="62"/>
    </row>
    <row r="53" spans="1:14" ht="14.1" customHeight="1" x14ac:dyDescent="0.25">
      <c r="A53" s="61"/>
      <c r="B53" s="1" t="s">
        <v>74</v>
      </c>
      <c r="E53"/>
      <c r="F53"/>
      <c r="G53"/>
      <c r="H53"/>
      <c r="I53"/>
      <c r="J53"/>
      <c r="K53"/>
      <c r="L53"/>
      <c r="M53"/>
      <c r="N53" s="62"/>
    </row>
    <row r="54" spans="1:14" ht="14.1" customHeight="1" x14ac:dyDescent="0.25">
      <c r="A54" s="61"/>
      <c r="B54" s="1" t="s">
        <v>75</v>
      </c>
      <c r="E54"/>
      <c r="F54"/>
      <c r="G54"/>
      <c r="H54"/>
      <c r="I54"/>
      <c r="J54"/>
      <c r="K54"/>
      <c r="L54"/>
      <c r="M54"/>
      <c r="N54" s="62"/>
    </row>
    <row r="55" spans="1:14" ht="7.5" customHeight="1" x14ac:dyDescent="0.25">
      <c r="A55" s="61"/>
      <c r="N55" s="62"/>
    </row>
    <row r="56" spans="1:14" ht="14.1" customHeight="1" x14ac:dyDescent="0.25">
      <c r="A56" s="61"/>
      <c r="I56" s="49" t="s">
        <v>36</v>
      </c>
      <c r="J56" s="88">
        <f>INPUT!F3</f>
        <v>46265</v>
      </c>
      <c r="K56" s="88"/>
      <c r="N56" s="62"/>
    </row>
    <row r="57" spans="1:14" ht="14.1" customHeight="1" x14ac:dyDescent="0.25">
      <c r="A57" s="61"/>
      <c r="N57" s="62"/>
    </row>
    <row r="58" spans="1:14" ht="14.1" customHeight="1" x14ac:dyDescent="0.25">
      <c r="A58" s="61"/>
      <c r="D58" s="86" t="s">
        <v>72</v>
      </c>
      <c r="E58" s="86"/>
      <c r="I58" s="86" t="s">
        <v>73</v>
      </c>
      <c r="J58" s="86"/>
      <c r="N58" s="62"/>
    </row>
    <row r="59" spans="1:14" ht="14.1" customHeight="1" x14ac:dyDescent="0.25">
      <c r="A59" s="61"/>
      <c r="N59" s="62"/>
    </row>
    <row r="60" spans="1:14" ht="14.1" customHeight="1" x14ac:dyDescent="0.25">
      <c r="A60" s="61"/>
      <c r="N60" s="62"/>
    </row>
    <row r="61" spans="1:14" ht="14.1" customHeight="1" x14ac:dyDescent="0.25">
      <c r="A61" s="61"/>
      <c r="N61" s="62"/>
    </row>
    <row r="62" spans="1:14" ht="14.1" customHeight="1" x14ac:dyDescent="0.25">
      <c r="A62" s="61"/>
      <c r="D62" s="87" t="str">
        <f>I15</f>
        <v>Djahuddin, SE.Sy</v>
      </c>
      <c r="E62" s="87"/>
      <c r="I62" s="87" t="str">
        <f>I24</f>
        <v>Sukmawati</v>
      </c>
      <c r="J62" s="87"/>
      <c r="N62" s="62"/>
    </row>
    <row r="63" spans="1:14" ht="15" customHeight="1" x14ac:dyDescent="0.25">
      <c r="A63" s="61"/>
      <c r="N63" s="62"/>
    </row>
    <row r="64" spans="1:14" x14ac:dyDescent="0.25">
      <c r="A64" s="61"/>
      <c r="N64" s="62"/>
    </row>
    <row r="65" spans="1:14" x14ac:dyDescent="0.25">
      <c r="A65" s="61"/>
      <c r="N65" s="62"/>
    </row>
    <row r="66" spans="1:14" x14ac:dyDescent="0.25">
      <c r="A66" s="61"/>
      <c r="N66" s="62"/>
    </row>
    <row r="67" spans="1:14" x14ac:dyDescent="0.25">
      <c r="A67" s="61"/>
      <c r="N67" s="62"/>
    </row>
    <row r="68" spans="1:14" x14ac:dyDescent="0.25">
      <c r="A68" s="61"/>
      <c r="N68" s="62"/>
    </row>
    <row r="69" spans="1:14" x14ac:dyDescent="0.25">
      <c r="A69" s="61"/>
      <c r="N69" s="62"/>
    </row>
    <row r="70" spans="1:14" x14ac:dyDescent="0.25">
      <c r="A70" s="61"/>
      <c r="N70" s="62"/>
    </row>
    <row r="71" spans="1:14" x14ac:dyDescent="0.25">
      <c r="A71" s="61"/>
      <c r="N71" s="62"/>
    </row>
    <row r="72" spans="1:14" ht="15.75" thickBot="1" x14ac:dyDescent="0.3">
      <c r="A72" s="63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5"/>
    </row>
  </sheetData>
  <mergeCells count="8">
    <mergeCell ref="B8:K8"/>
    <mergeCell ref="B12:K12"/>
    <mergeCell ref="D58:E58"/>
    <mergeCell ref="D62:E62"/>
    <mergeCell ref="J56:K56"/>
    <mergeCell ref="I62:J62"/>
    <mergeCell ref="I58:J58"/>
    <mergeCell ref="I51:K52"/>
  </mergeCells>
  <pageMargins left="0.59055118110236227" right="0.23622047244094491" top="0.39370078740157483" bottom="0.39370078740157483" header="0.31496062992125984" footer="0.31496062992125984"/>
  <pageSetup paperSize="5" scale="9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</vt:lpstr>
      <vt:lpstr>N1</vt:lpstr>
      <vt:lpstr>N2</vt:lpstr>
      <vt:lpstr>N4</vt:lpstr>
      <vt:lpstr>N5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</dc:creator>
  <cp:lastModifiedBy>office.digital27619</cp:lastModifiedBy>
  <cp:lastPrinted>2026-08-31T03:55:59Z</cp:lastPrinted>
  <dcterms:created xsi:type="dcterms:W3CDTF">2018-04-21T15:07:29Z</dcterms:created>
  <dcterms:modified xsi:type="dcterms:W3CDTF">2026-08-31T04:00:50Z</dcterms:modified>
</cp:coreProperties>
</file>