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1640"/>
  </bookViews>
  <sheets>
    <sheet name="Desa-BLT" sheetId="1" r:id="rId1"/>
    <sheet name="Petunjuk Pengisian" sheetId="2" r:id="rId2"/>
  </sheets>
  <externalReferences>
    <externalReference r:id="rId3"/>
  </externalReferenc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B27" i="1"/>
  <c r="W172" i="1"/>
  <c r="W161" i="1"/>
  <c r="W162" i="1"/>
  <c r="W163" i="1"/>
  <c r="W164" i="1"/>
  <c r="W165" i="1"/>
  <c r="W166" i="1"/>
  <c r="W148" i="1" l="1"/>
  <c r="W149" i="1"/>
  <c r="W150" i="1"/>
  <c r="W151" i="1"/>
  <c r="W152" i="1"/>
  <c r="W153" i="1"/>
  <c r="W154" i="1"/>
  <c r="W155" i="1"/>
  <c r="W156" i="1"/>
  <c r="W157" i="1"/>
  <c r="W158" i="1"/>
  <c r="W159" i="1"/>
  <c r="W144" i="1"/>
  <c r="W145" i="1"/>
  <c r="W146" i="1"/>
  <c r="W147" i="1"/>
  <c r="W160" i="1"/>
  <c r="W167" i="1"/>
  <c r="W168" i="1"/>
  <c r="W122" i="1" l="1"/>
  <c r="W123" i="1"/>
  <c r="W124" i="1"/>
  <c r="W125" i="1"/>
  <c r="W126" i="1"/>
  <c r="W127" i="1"/>
  <c r="W128" i="1"/>
  <c r="W129" i="1"/>
  <c r="W130" i="1"/>
  <c r="W131" i="1"/>
  <c r="W132" i="1"/>
  <c r="W133" i="1"/>
  <c r="W135" i="1"/>
  <c r="W136" i="1"/>
  <c r="W137" i="1"/>
  <c r="W138" i="1"/>
  <c r="W139" i="1"/>
  <c r="W140" i="1"/>
  <c r="W141" i="1"/>
  <c r="W142" i="1"/>
  <c r="W143" i="1"/>
  <c r="W107" i="1" l="1"/>
  <c r="W108" i="1"/>
  <c r="W109" i="1"/>
  <c r="W110" i="1"/>
  <c r="W111" i="1"/>
  <c r="W112" i="1"/>
  <c r="W113" i="1"/>
  <c r="W114" i="1"/>
  <c r="W115" i="1"/>
  <c r="W103" i="1"/>
  <c r="W104" i="1"/>
  <c r="W105" i="1"/>
  <c r="W106" i="1"/>
  <c r="W116" i="1"/>
  <c r="W117" i="1"/>
  <c r="W118" i="1"/>
  <c r="W88" i="1"/>
  <c r="W89" i="1"/>
  <c r="W90" i="1"/>
  <c r="W91" i="1"/>
  <c r="W92" i="1"/>
  <c r="W93" i="1"/>
  <c r="W94" i="1"/>
  <c r="W95" i="1"/>
  <c r="W65" i="1" l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62" i="1"/>
  <c r="W63" i="1"/>
  <c r="W64" i="1"/>
  <c r="W83" i="1"/>
  <c r="W84" i="1"/>
  <c r="W85" i="1"/>
  <c r="W86" i="1"/>
  <c r="W87" i="1"/>
  <c r="W96" i="1"/>
  <c r="W97" i="1"/>
  <c r="W98" i="1"/>
  <c r="W99" i="1"/>
  <c r="W100" i="1"/>
  <c r="W101" i="1"/>
  <c r="W102" i="1"/>
  <c r="W119" i="1"/>
  <c r="W120" i="1"/>
  <c r="W121" i="1"/>
  <c r="W169" i="1"/>
  <c r="W170" i="1"/>
  <c r="W171" i="1"/>
  <c r="W173" i="1"/>
  <c r="W11" i="1" l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10" i="1"/>
  <c r="AC175" i="1" l="1"/>
  <c r="AB175" i="1"/>
  <c r="AA175" i="1"/>
  <c r="Z175" i="1"/>
  <c r="Y175" i="1"/>
  <c r="X175" i="1"/>
  <c r="AD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W174" i="1"/>
  <c r="W175" i="1" l="1"/>
</calcChain>
</file>

<file path=xl/sharedStrings.xml><?xml version="1.0" encoding="utf-8"?>
<sst xmlns="http://schemas.openxmlformats.org/spreadsheetml/2006/main" count="725" uniqueCount="556">
  <si>
    <t>No.</t>
  </si>
  <si>
    <t>No. KTP/NIK</t>
  </si>
  <si>
    <t>Alamat Domisili</t>
  </si>
  <si>
    <t>No. Rekening</t>
  </si>
  <si>
    <t>Bank</t>
  </si>
  <si>
    <t>Kriteria Keluarga Miskin</t>
  </si>
  <si>
    <t>Jumlah</t>
  </si>
  <si>
    <t>PKH</t>
  </si>
  <si>
    <t>BPNT</t>
  </si>
  <si>
    <t>KP</t>
  </si>
  <si>
    <t>Tidak Terdata</t>
  </si>
  <si>
    <t>Sakit Kronis</t>
  </si>
  <si>
    <t>Belum Menerima JPS</t>
  </si>
  <si>
    <t>Sudah Menerima JPS</t>
  </si>
  <si>
    <t>Kehilangan Mata 
Pencaharian</t>
  </si>
  <si>
    <t>MS/
TMS</t>
  </si>
  <si>
    <t>DATA KELUARGA MISKIN CALON PENERIMA MANFAAT BLT DANA DESA</t>
  </si>
  <si>
    <t>JUMLAH</t>
  </si>
  <si>
    <t>MS</t>
  </si>
  <si>
    <t>TMS</t>
  </si>
  <si>
    <t>PEDOMAN RELAWAN PENCATAT DATA KELUARGA MISKIN CALON PENERIMA</t>
  </si>
  <si>
    <t>MANFAAT BLT DANA DESA</t>
  </si>
  <si>
    <t>2. Pencatatan dilakukan pada tingkat Rukun Tetangga (RT);</t>
  </si>
  <si>
    <t>Keterangan:</t>
  </si>
  <si>
    <t>a. Nama/NIK : Nama Lengkap Kepala Keluarga beserta NIK</t>
  </si>
  <si>
    <t>b. Alamat : Alamat Domisili</t>
  </si>
  <si>
    <t>c. No. Rekening : Rekening pribadi yang bersangkutan</t>
  </si>
  <si>
    <t>d. Kriteria Keluarga Miskin : Kriteria keluarga miskin menurut Kementerian Sosial</t>
  </si>
  <si>
    <t>e. Jumlah : Jumlah Ceklist Kriteria Keluarga Miskin</t>
  </si>
  <si>
    <t>f. PKH : Program Keluarga Harapan</t>
  </si>
  <si>
    <t>g. BPNT : Bantuan Pangan Non Tunai</t>
  </si>
  <si>
    <t>h. KP : Kartu Prakerja</t>
  </si>
  <si>
    <t>j. Tidak Terdata : Berhak tapi belum menerima manfaat JPS</t>
  </si>
  <si>
    <t>m. Pencatat : Relawan Desa Lawan COVID-19</t>
  </si>
  <si>
    <t>TABEL KRITERIA KELUARGA MISKIN</t>
  </si>
  <si>
    <t xml:space="preserve">NO </t>
  </si>
  <si>
    <t>KRITERIA KELUARGA MISKIN</t>
  </si>
  <si>
    <t>Luas lantai &lt;8m2/orang</t>
  </si>
  <si>
    <t>Lantai tanah/bambu/kayu murah</t>
  </si>
  <si>
    <t>Dinding bambu/rumbia/kayu murah/tembok tanpa plester</t>
  </si>
  <si>
    <t>Buang Air Besar tanpa fasilitas/bersama orang lain</t>
  </si>
  <si>
    <t>Penerangan tanpa listrik</t>
  </si>
  <si>
    <t>Air minum dari sumur/mata air tidak terlindung/sungai/air hujan</t>
  </si>
  <si>
    <t>Bahan bakar kayu bakar/arang/minyak tanah</t>
  </si>
  <si>
    <t>Konsumsi daging/susu/ayam hanya 1 kali/minggu</t>
  </si>
  <si>
    <t>Satu stel pakaian setahun</t>
  </si>
  <si>
    <t>Makan 1-2 kali/hari</t>
  </si>
  <si>
    <t>Tidak sanggup berobat ke puskesmas/poliklinik</t>
  </si>
  <si>
    <t>Sumber penghasilan KK petani berlahan &lt;500m2, buruh tani, buruh nelayan,
buruh bangunan, buruh perkebunan, pekerjaan lain berupah &lt; Rp 600 ribu/bulan</t>
  </si>
  <si>
    <t>Pendidikan KK Tidak sekolah/tidak tamat SD/tamat SD</t>
  </si>
  <si>
    <t>Tidak memiliki tabungan/barang mudah dijual minimal Rp 500 ribu</t>
  </si>
  <si>
    <t>1. Relawan menjalankan tugas pencatatan setelah mendapat Surat Tugas dari Ketua Relawan Desa Lawan COVID-19 (Kepala Desa);</t>
  </si>
  <si>
    <t>4. Yang dimaksud keluarga miskin adalah yang memenuhi minimal 9 (Sembilan) dari 14 (empat belas) kriteria yang ditetapkan oleh Kementerian Sosial Republik Indonesia;</t>
  </si>
  <si>
    <t>5. Segala aktifitas dari petugas pencatat harus dilaporkan kepada Ketua Relawan Desa Lawan COVID-19.</t>
  </si>
  <si>
    <t>i. Kehilangan Mata Pencaharian : Tidak memiliki cadangan ekonomi yang cukup untuk bertahan hidup selama 3 (tiga) bulan kedepan</t>
  </si>
  <si>
    <t>k. Sakit Kronis : Anggota keluarga miskin yang memiliki penyakit kronis atau menahun</t>
  </si>
  <si>
    <t>l. MS/TMS : MS = Memenuhi Syarat; TMS = Tidak Memenuhi Syarat</t>
  </si>
  <si>
    <t>3. Pencatatan dan penetapan data keluarga miskin calon penerima manfaat dilakukan selambat lambatnya sebelum pencairan BLT-Dana Desa (April 2020);</t>
  </si>
  <si>
    <t>Nomor Kartu Keluarga</t>
  </si>
  <si>
    <t>Nama Lengkap 
Kepala Keluarga</t>
  </si>
  <si>
    <t>Mengetahui,</t>
  </si>
  <si>
    <t>Kepala Desa Kampala</t>
  </si>
  <si>
    <t>Hj.ROSMIATI,SE</t>
  </si>
  <si>
    <t>Kampala                           2020</t>
  </si>
  <si>
    <t>Pencatat</t>
  </si>
  <si>
    <t>……………………..</t>
  </si>
  <si>
    <t xml:space="preserve">Provinsi </t>
  </si>
  <si>
    <t xml:space="preserve">Kabupaten </t>
  </si>
  <si>
    <t xml:space="preserve">Kecamatan </t>
  </si>
  <si>
    <t xml:space="preserve">Desa </t>
  </si>
  <si>
    <t>: Sulawesi Selatan</t>
  </si>
  <si>
    <t>: Jeneponto</t>
  </si>
  <si>
    <t>: Arungkeke</t>
  </si>
  <si>
    <t>: Kampala</t>
  </si>
  <si>
    <t>BASRI</t>
  </si>
  <si>
    <t>NAGA</t>
  </si>
  <si>
    <t>MAMANG</t>
  </si>
  <si>
    <t>NUHUNG</t>
  </si>
  <si>
    <t>NIA</t>
  </si>
  <si>
    <t>SAHENG</t>
  </si>
  <si>
    <t>USMAN</t>
  </si>
  <si>
    <t>PURUNG</t>
  </si>
  <si>
    <t>SAMPARA SANASIA</t>
  </si>
  <si>
    <t>LEMBA</t>
  </si>
  <si>
    <t>RASAK</t>
  </si>
  <si>
    <t>SAPRIADI DG TIMUNG</t>
  </si>
  <si>
    <t>MUKSIN</t>
  </si>
  <si>
    <t>SUHARTO</t>
  </si>
  <si>
    <t>PINYYANGKA BUNG</t>
  </si>
  <si>
    <t>7304091401070028</t>
  </si>
  <si>
    <t>7304090107660003</t>
  </si>
  <si>
    <t>7304091612140003</t>
  </si>
  <si>
    <t>7304094107650001</t>
  </si>
  <si>
    <t>7304091401070032</t>
  </si>
  <si>
    <t>7304090107550002</t>
  </si>
  <si>
    <t>7304091901070056</t>
  </si>
  <si>
    <t>7304090107500004</t>
  </si>
  <si>
    <t>7304092211100004</t>
  </si>
  <si>
    <t>7304094017440009</t>
  </si>
  <si>
    <t>7304091205090007</t>
  </si>
  <si>
    <t>7304093112920003</t>
  </si>
  <si>
    <t>7304093112650008</t>
  </si>
  <si>
    <t>7304091401070058</t>
  </si>
  <si>
    <t>7304090107710002</t>
  </si>
  <si>
    <t>7304092101150012</t>
  </si>
  <si>
    <t>7304091005950001</t>
  </si>
  <si>
    <t>7304091606840002</t>
  </si>
  <si>
    <t>SEPEKA</t>
  </si>
  <si>
    <t xml:space="preserve">ALDIANSYAH </t>
  </si>
  <si>
    <t>7304110510170002</t>
  </si>
  <si>
    <t>7304111608000001</t>
  </si>
  <si>
    <t>SUPARDI</t>
  </si>
  <si>
    <t>7304091308120030</t>
  </si>
  <si>
    <t>MILI</t>
  </si>
  <si>
    <t>7304090905180003</t>
  </si>
  <si>
    <t>7373010107770035</t>
  </si>
  <si>
    <t>IRWAN</t>
  </si>
  <si>
    <t>7304092209160001</t>
  </si>
  <si>
    <t>7304093112840020</t>
  </si>
  <si>
    <t>SYARIFUDDIN</t>
  </si>
  <si>
    <t>ALI IMRAN</t>
  </si>
  <si>
    <t>MIDO</t>
  </si>
  <si>
    <t>RISAL</t>
  </si>
  <si>
    <t>RAHMAT KURNIAWAN</t>
  </si>
  <si>
    <t>TAUFIK</t>
  </si>
  <si>
    <t>RUMINA</t>
  </si>
  <si>
    <t>M. RAPI</t>
  </si>
  <si>
    <t>NIAR</t>
  </si>
  <si>
    <t>SUNARDI</t>
  </si>
  <si>
    <t>MUSTAMIN</t>
  </si>
  <si>
    <t>YUJU</t>
  </si>
  <si>
    <t>MALIK</t>
  </si>
  <si>
    <t>JUNI</t>
  </si>
  <si>
    <t>IDRIS</t>
  </si>
  <si>
    <t>SUNU'</t>
  </si>
  <si>
    <t>SALAWA</t>
  </si>
  <si>
    <t>SAHARUDDIN</t>
  </si>
  <si>
    <t>NAI</t>
  </si>
  <si>
    <t>KADIR</t>
  </si>
  <si>
    <t>TAHO</t>
  </si>
  <si>
    <t>BAHA</t>
  </si>
  <si>
    <t>HAPIL.J</t>
  </si>
  <si>
    <t>7304091601070018</t>
  </si>
  <si>
    <t>7304091408780001</t>
  </si>
  <si>
    <t>7304091308120005</t>
  </si>
  <si>
    <t>7304090507850008</t>
  </si>
  <si>
    <t>7304092805090019</t>
  </si>
  <si>
    <t>7304090107600027</t>
  </si>
  <si>
    <t>7304090208160002</t>
  </si>
  <si>
    <t>7304030707950005</t>
  </si>
  <si>
    <t>7304082905940002</t>
  </si>
  <si>
    <t>7304091506150004</t>
  </si>
  <si>
    <t>730409110320004</t>
  </si>
  <si>
    <t>7304030202960003</t>
  </si>
  <si>
    <t>7304094107450003</t>
  </si>
  <si>
    <t>7304091601070068</t>
  </si>
  <si>
    <t>7304091601070031</t>
  </si>
  <si>
    <t>7304090107620005</t>
  </si>
  <si>
    <t>7304092206870002</t>
  </si>
  <si>
    <t>7304091008120004</t>
  </si>
  <si>
    <t>7371090709790008</t>
  </si>
  <si>
    <t>7304091306160001</t>
  </si>
  <si>
    <t>7304090510160001</t>
  </si>
  <si>
    <t>7304092111930001</t>
  </si>
  <si>
    <t>7371102903550002</t>
  </si>
  <si>
    <t>7304091911180007</t>
  </si>
  <si>
    <t>7304091601070079</t>
  </si>
  <si>
    <t>7304090107500007</t>
  </si>
  <si>
    <t>7304095605450001</t>
  </si>
  <si>
    <t>7304091605090022</t>
  </si>
  <si>
    <t>7304092108190002</t>
  </si>
  <si>
    <t>7304090207930001</t>
  </si>
  <si>
    <t>7304090107600008</t>
  </si>
  <si>
    <t>7304091601070074</t>
  </si>
  <si>
    <t>7304090502150001</t>
  </si>
  <si>
    <t>7304090107790006</t>
  </si>
  <si>
    <t>7304080508900010</t>
  </si>
  <si>
    <t>7304082907120005</t>
  </si>
  <si>
    <t>7304092112150005</t>
  </si>
  <si>
    <t>7304090107930002</t>
  </si>
  <si>
    <t>7304011205910003</t>
  </si>
  <si>
    <t>730401011100008</t>
  </si>
  <si>
    <t>7304012806060049</t>
  </si>
  <si>
    <t>7304013112620047</t>
  </si>
  <si>
    <t>7304091204710001</t>
  </si>
  <si>
    <t>7304091408120003</t>
  </si>
  <si>
    <t>7304092304150004</t>
  </si>
  <si>
    <t>7304090706870002</t>
  </si>
  <si>
    <t>M. MANNU KADIR</t>
  </si>
  <si>
    <t>BOBI</t>
  </si>
  <si>
    <t>ASRI</t>
  </si>
  <si>
    <t>RAMLI</t>
  </si>
  <si>
    <t>SINA</t>
  </si>
  <si>
    <t>SAIRUDDIN</t>
  </si>
  <si>
    <t>JUMASIA</t>
  </si>
  <si>
    <t>MALE DG GASSING</t>
  </si>
  <si>
    <t>IKSAN</t>
  </si>
  <si>
    <t>SAHABUDDIN</t>
  </si>
  <si>
    <t>BAKRI</t>
  </si>
  <si>
    <t>M. AMIN</t>
  </si>
  <si>
    <t>HASRUL</t>
  </si>
  <si>
    <t>7304090506710003</t>
  </si>
  <si>
    <t>7304093112730004</t>
  </si>
  <si>
    <t>7304050107780014</t>
  </si>
  <si>
    <t>73030107660101</t>
  </si>
  <si>
    <t>7304050107840009</t>
  </si>
  <si>
    <t>7304090107850079</t>
  </si>
  <si>
    <t>7304092005920001</t>
  </si>
  <si>
    <t>7304094107790037</t>
  </si>
  <si>
    <t>7306030107400059</t>
  </si>
  <si>
    <t>7304091005920002</t>
  </si>
  <si>
    <t>7304022004870001</t>
  </si>
  <si>
    <t>7304091207870002</t>
  </si>
  <si>
    <t>7304091702790002</t>
  </si>
  <si>
    <t>7304093112700005</t>
  </si>
  <si>
    <t>7304090107970002</t>
  </si>
  <si>
    <t>7304091601070030</t>
  </si>
  <si>
    <t>7304091207080004</t>
  </si>
  <si>
    <t>7304050109140002</t>
  </si>
  <si>
    <t>7304091804170001</t>
  </si>
  <si>
    <t>7304050805190001</t>
  </si>
  <si>
    <t>7304090108120002</t>
  </si>
  <si>
    <t>730409160640001</t>
  </si>
  <si>
    <t>7304032507160004</t>
  </si>
  <si>
    <t>7304090412170001</t>
  </si>
  <si>
    <t>7304091909190006</t>
  </si>
  <si>
    <t>7304091501070038</t>
  </si>
  <si>
    <t>7304092311160001</t>
  </si>
  <si>
    <t>7304090606120006</t>
  </si>
  <si>
    <t>7304092605090008</t>
  </si>
  <si>
    <t>7304032405180004</t>
  </si>
  <si>
    <t>BUNTULU</t>
  </si>
  <si>
    <t>SAODAH</t>
  </si>
  <si>
    <t>BAHARUDDIN</t>
  </si>
  <si>
    <t>BAKARING</t>
  </si>
  <si>
    <t>ABD. RAHIM</t>
  </si>
  <si>
    <t>ASMIN</t>
  </si>
  <si>
    <t>JUFRI</t>
  </si>
  <si>
    <t>SAMODDIN</t>
  </si>
  <si>
    <t>TANTU</t>
  </si>
  <si>
    <t>JURU</t>
  </si>
  <si>
    <t>TIKOLLAH</t>
  </si>
  <si>
    <t>SISI</t>
  </si>
  <si>
    <t>RUSLI</t>
  </si>
  <si>
    <t>YANSA</t>
  </si>
  <si>
    <t>SAHARUDDIN DG MANGE</t>
  </si>
  <si>
    <t>HARRUDDIN</t>
  </si>
  <si>
    <t>HATIJA</t>
  </si>
  <si>
    <t>RUNGKE</t>
  </si>
  <si>
    <t>KU'LANG</t>
  </si>
  <si>
    <t>BANDU</t>
  </si>
  <si>
    <t>MUH. NASIR</t>
  </si>
  <si>
    <t>SARI</t>
  </si>
  <si>
    <t>HASAN</t>
  </si>
  <si>
    <t>TEPU</t>
  </si>
  <si>
    <t>SARIF</t>
  </si>
  <si>
    <t>HAERUDDIN</t>
  </si>
  <si>
    <t>RABASIA</t>
  </si>
  <si>
    <t>SANURUNG</t>
  </si>
  <si>
    <t>KARTINA</t>
  </si>
  <si>
    <t>ISA</t>
  </si>
  <si>
    <t>HANIA</t>
  </si>
  <si>
    <t>7304091801070011</t>
  </si>
  <si>
    <t>7304092201070064</t>
  </si>
  <si>
    <t>7304092201070004</t>
  </si>
  <si>
    <t>7304092201070062</t>
  </si>
  <si>
    <t>7304092609170002</t>
  </si>
  <si>
    <t>7304090309100001</t>
  </si>
  <si>
    <t>7304092201070043</t>
  </si>
  <si>
    <t>7304092201070034</t>
  </si>
  <si>
    <t>7304092201070091</t>
  </si>
  <si>
    <t>7304092201070078</t>
  </si>
  <si>
    <t>7304092011140015</t>
  </si>
  <si>
    <t>7304091406110001</t>
  </si>
  <si>
    <t>7304093005140041</t>
  </si>
  <si>
    <t>7304030201120016</t>
  </si>
  <si>
    <t>7304090711180001</t>
  </si>
  <si>
    <t>7304092201070067</t>
  </si>
  <si>
    <t>7304092201070005</t>
  </si>
  <si>
    <t>7304092201070083</t>
  </si>
  <si>
    <t>7304092201070060</t>
  </si>
  <si>
    <t>7304092201070044</t>
  </si>
  <si>
    <t>7304093005140036</t>
  </si>
  <si>
    <t>7304092201070050</t>
  </si>
  <si>
    <t>7304092201070012</t>
  </si>
  <si>
    <t>7304022404150002</t>
  </si>
  <si>
    <t>7304090406100002</t>
  </si>
  <si>
    <t>7304090209100002</t>
  </si>
  <si>
    <t>7304092201070022</t>
  </si>
  <si>
    <t>7304090103180001</t>
  </si>
  <si>
    <t>7304090209100003</t>
  </si>
  <si>
    <t>7304092201070003</t>
  </si>
  <si>
    <t>BUANG</t>
  </si>
  <si>
    <t>MALLEWAI</t>
  </si>
  <si>
    <t>7304092201070090</t>
  </si>
  <si>
    <t>7304092201070042</t>
  </si>
  <si>
    <t>7304095007550001</t>
  </si>
  <si>
    <t>7304090506650001</t>
  </si>
  <si>
    <t>7304091006690001</t>
  </si>
  <si>
    <t>7304090903690001</t>
  </si>
  <si>
    <t>7371060310810002</t>
  </si>
  <si>
    <t>7304090809770001</t>
  </si>
  <si>
    <t>7304090509610001</t>
  </si>
  <si>
    <t>7304090510600001</t>
  </si>
  <si>
    <t>7304094107650016</t>
  </si>
  <si>
    <t>7304090107630003</t>
  </si>
  <si>
    <t>7304021701920002</t>
  </si>
  <si>
    <t>7304093112430004</t>
  </si>
  <si>
    <t>7304097112590218</t>
  </si>
  <si>
    <t>7304030107780024</t>
  </si>
  <si>
    <t>7303053112630022</t>
  </si>
  <si>
    <t>7304096002570001</t>
  </si>
  <si>
    <t>730409661520001</t>
  </si>
  <si>
    <t>7304090107500012</t>
  </si>
  <si>
    <t>7304091009690001</t>
  </si>
  <si>
    <t>7304090606690001</t>
  </si>
  <si>
    <t>7304095505600001</t>
  </si>
  <si>
    <t>7304091703840002</t>
  </si>
  <si>
    <t>7304091804720001</t>
  </si>
  <si>
    <t>7304090107910030</t>
  </si>
  <si>
    <t>7304091311870002</t>
  </si>
  <si>
    <t>7304096805640001</t>
  </si>
  <si>
    <t>7304096212790001</t>
  </si>
  <si>
    <t>7304096606820002</t>
  </si>
  <si>
    <t>7304095706600001</t>
  </si>
  <si>
    <t>7304094107650015</t>
  </si>
  <si>
    <t>7304090107420004</t>
  </si>
  <si>
    <t>7304090107550011</t>
  </si>
  <si>
    <t>7304092205090001</t>
  </si>
  <si>
    <t>7304091612140002</t>
  </si>
  <si>
    <t>7304090103180003</t>
  </si>
  <si>
    <t>MONROLOE</t>
  </si>
  <si>
    <t>ASWAR</t>
  </si>
  <si>
    <t>7304090906170001</t>
  </si>
  <si>
    <t>7304090502920001</t>
  </si>
  <si>
    <t>7304091308120015</t>
  </si>
  <si>
    <t>7304090107830060</t>
  </si>
  <si>
    <t>SAHAR</t>
  </si>
  <si>
    <t>7304091010140001</t>
  </si>
  <si>
    <t>7304090107980005</t>
  </si>
  <si>
    <t>SANUDDIN</t>
  </si>
  <si>
    <t>7304091308120017</t>
  </si>
  <si>
    <t>7304091402880001</t>
  </si>
  <si>
    <t>ILHAM</t>
  </si>
  <si>
    <t>7304090904180001</t>
  </si>
  <si>
    <t>7304091109980001</t>
  </si>
  <si>
    <t>SAMSUL</t>
  </si>
  <si>
    <t>7304092705090013</t>
  </si>
  <si>
    <t>7304090112820003</t>
  </si>
  <si>
    <t>LEO</t>
  </si>
  <si>
    <t>7304092111140002</t>
  </si>
  <si>
    <t>7304090107640016</t>
  </si>
  <si>
    <t>SULAEMAN</t>
  </si>
  <si>
    <t>7304091008120023</t>
  </si>
  <si>
    <t>7304091103920001</t>
  </si>
  <si>
    <t>CAING</t>
  </si>
  <si>
    <t>7304091601070002</t>
  </si>
  <si>
    <t>7304090107720001</t>
  </si>
  <si>
    <t>7304091308120010</t>
  </si>
  <si>
    <t>7304091202840004</t>
  </si>
  <si>
    <t>RUSTAM</t>
  </si>
  <si>
    <t>AMIRUDDIN</t>
  </si>
  <si>
    <t>7304092508160005</t>
  </si>
  <si>
    <t>7304090704960001</t>
  </si>
  <si>
    <t>7304091601070023</t>
  </si>
  <si>
    <t>7304090107580003</t>
  </si>
  <si>
    <t>MAKKASAU DG RATE</t>
  </si>
  <si>
    <t>ANSAR</t>
  </si>
  <si>
    <t>7304091104160001</t>
  </si>
  <si>
    <t>7304090107950003</t>
  </si>
  <si>
    <t>7304090603180002</t>
  </si>
  <si>
    <t>9202151705960001</t>
  </si>
  <si>
    <t>ASDAR AKSA</t>
  </si>
  <si>
    <t>7304092411140031</t>
  </si>
  <si>
    <t>7304080507920008</t>
  </si>
  <si>
    <t>KAHAR</t>
  </si>
  <si>
    <t>7304032604160007</t>
  </si>
  <si>
    <t>7304030512930001</t>
  </si>
  <si>
    <t>MUH RIZAL</t>
  </si>
  <si>
    <t>SATRIANI</t>
  </si>
  <si>
    <t>7304090506170002</t>
  </si>
  <si>
    <t>7304096305980001</t>
  </si>
  <si>
    <t>7304091101130001</t>
  </si>
  <si>
    <t>7304091010900004</t>
  </si>
  <si>
    <t>UMAR</t>
  </si>
  <si>
    <t>SUMARDI</t>
  </si>
  <si>
    <t>7304091811150008</t>
  </si>
  <si>
    <t>7304091201950002</t>
  </si>
  <si>
    <t>7304091401070025</t>
  </si>
  <si>
    <t>7304096309750002</t>
  </si>
  <si>
    <t>JUMASARI</t>
  </si>
  <si>
    <t>7304091501070012</t>
  </si>
  <si>
    <t>7304090107700005</t>
  </si>
  <si>
    <t>DAHONG</t>
  </si>
  <si>
    <t>PUDING</t>
  </si>
  <si>
    <t>7304092102190001</t>
  </si>
  <si>
    <t>9202153112740001</t>
  </si>
  <si>
    <t>7304032510110004</t>
  </si>
  <si>
    <t>7304096007930003</t>
  </si>
  <si>
    <t>AMIRUDDIN R</t>
  </si>
  <si>
    <t>KASA</t>
  </si>
  <si>
    <t>7304091501070002</t>
  </si>
  <si>
    <t>7304094107580005</t>
  </si>
  <si>
    <t>KALUKUANG</t>
  </si>
  <si>
    <t>7304022604160001</t>
  </si>
  <si>
    <t>7304023112910014</t>
  </si>
  <si>
    <t>SUDIRMAN</t>
  </si>
  <si>
    <t>7304090608190001</t>
  </si>
  <si>
    <t>7304090403860001</t>
  </si>
  <si>
    <t>MUSTAMIN DG GAPPA</t>
  </si>
  <si>
    <t>DULLA</t>
  </si>
  <si>
    <t>7304091008120017</t>
  </si>
  <si>
    <t>7304091007600001</t>
  </si>
  <si>
    <t>RAMLIH</t>
  </si>
  <si>
    <t>7304091801070045</t>
  </si>
  <si>
    <t>7304093011600001</t>
  </si>
  <si>
    <t>7304092411140006</t>
  </si>
  <si>
    <t>7304092487850001</t>
  </si>
  <si>
    <t>HENDRA</t>
  </si>
  <si>
    <t>7304092001070028</t>
  </si>
  <si>
    <t>7304091304560001</t>
  </si>
  <si>
    <t>BAKKARA</t>
  </si>
  <si>
    <t>7304091801070002</t>
  </si>
  <si>
    <t>7304091301730001</t>
  </si>
  <si>
    <t>RAHMAN</t>
  </si>
  <si>
    <t>ABD.RAHMAN S</t>
  </si>
  <si>
    <t>7304090508150001</t>
  </si>
  <si>
    <t>7304030505550002</t>
  </si>
  <si>
    <t>7304092001070004</t>
  </si>
  <si>
    <t>7304091206600001</t>
  </si>
  <si>
    <t>MAKMUR</t>
  </si>
  <si>
    <t>7304091008120013</t>
  </si>
  <si>
    <t>7304091306780002</t>
  </si>
  <si>
    <t>MISI</t>
  </si>
  <si>
    <t>7304091801070039</t>
  </si>
  <si>
    <t>7304092703500001</t>
  </si>
  <si>
    <t>DEWA MANGKA</t>
  </si>
  <si>
    <t>7304092001070042</t>
  </si>
  <si>
    <t>7304092010800001</t>
  </si>
  <si>
    <t>AZIZ</t>
  </si>
  <si>
    <t>SANDI</t>
  </si>
  <si>
    <t>7304092708120006</t>
  </si>
  <si>
    <t>7304020503850001</t>
  </si>
  <si>
    <t>RUSMAN SIBALI</t>
  </si>
  <si>
    <t>7304092312110010</t>
  </si>
  <si>
    <t>7304093112020001</t>
  </si>
  <si>
    <t>7304092001070031</t>
  </si>
  <si>
    <t>7304096001600001</t>
  </si>
  <si>
    <t>TIMA</t>
  </si>
  <si>
    <t>JUMAKING</t>
  </si>
  <si>
    <t>7304090909080001</t>
  </si>
  <si>
    <t>7304090107660069</t>
  </si>
  <si>
    <t>7304092001070035</t>
  </si>
  <si>
    <t>7304097003560001</t>
  </si>
  <si>
    <t>MIA</t>
  </si>
  <si>
    <t>INTANG LAWARI</t>
  </si>
  <si>
    <t>7304091801070037</t>
  </si>
  <si>
    <t>7304094602640001</t>
  </si>
  <si>
    <t>7304091801070054</t>
  </si>
  <si>
    <t>7304092104610001</t>
  </si>
  <si>
    <t>MANGKA</t>
  </si>
  <si>
    <t>7304092001070037</t>
  </si>
  <si>
    <t>7304094808650001</t>
  </si>
  <si>
    <t>SYAMSIAH DG PANGIN</t>
  </si>
  <si>
    <t>7304090609110002</t>
  </si>
  <si>
    <t>7304090404820001</t>
  </si>
  <si>
    <t>AMILUDDIN</t>
  </si>
  <si>
    <t>7304092705090027</t>
  </si>
  <si>
    <t>7304094302560001</t>
  </si>
  <si>
    <t>YASE</t>
  </si>
  <si>
    <t>CINCING TAMMU</t>
  </si>
  <si>
    <t>7304092001070024</t>
  </si>
  <si>
    <t>7304090302600001</t>
  </si>
  <si>
    <t>AZIS</t>
  </si>
  <si>
    <t>7304091108160003</t>
  </si>
  <si>
    <t>7304071205920003</t>
  </si>
  <si>
    <t>ASRI AMIN</t>
  </si>
  <si>
    <t>7304092701140002</t>
  </si>
  <si>
    <t>7304091707960002</t>
  </si>
  <si>
    <t>BACO</t>
  </si>
  <si>
    <t>7304091801070036</t>
  </si>
  <si>
    <t>7304092002580001</t>
  </si>
  <si>
    <t>7304090808180001</t>
  </si>
  <si>
    <t>7316051210960001</t>
  </si>
  <si>
    <t>ARNOLD MAULANA AKZAN B</t>
  </si>
  <si>
    <t>7304092708120002</t>
  </si>
  <si>
    <t>7304091401880001</t>
  </si>
  <si>
    <t>7304091407080005</t>
  </si>
  <si>
    <t>7304093112700009</t>
  </si>
  <si>
    <t>7304081110120001</t>
  </si>
  <si>
    <t>7304080107790077</t>
  </si>
  <si>
    <t>7304091803100001</t>
  </si>
  <si>
    <t>7304090107600083</t>
  </si>
  <si>
    <t>MAUPA</t>
  </si>
  <si>
    <t>7304091801070015</t>
  </si>
  <si>
    <t>7304091108710001</t>
  </si>
  <si>
    <t>7304091801070028</t>
  </si>
  <si>
    <t>7304096003640001</t>
  </si>
  <si>
    <t>ISYAH</t>
  </si>
  <si>
    <t>AGUS</t>
  </si>
  <si>
    <t>7304090107910003</t>
  </si>
  <si>
    <t>7304092011140008</t>
  </si>
  <si>
    <t>SINRANG GAMA</t>
  </si>
  <si>
    <t>7304090107670002</t>
  </si>
  <si>
    <t>7304091601070026</t>
  </si>
  <si>
    <t>7304091809120002</t>
  </si>
  <si>
    <t>7304091212830001</t>
  </si>
  <si>
    <t>SYAFAR</t>
  </si>
  <si>
    <t>7304091210150005</t>
  </si>
  <si>
    <t>7304090107930031</t>
  </si>
  <si>
    <t>7304091801070018</t>
  </si>
  <si>
    <t>7304092003630001</t>
  </si>
  <si>
    <t>MA JO</t>
  </si>
  <si>
    <t>MAPPI</t>
  </si>
  <si>
    <t>7304091005160001</t>
  </si>
  <si>
    <t>7304093112940002</t>
  </si>
  <si>
    <t>TANGGU</t>
  </si>
  <si>
    <t>7304091801070038</t>
  </si>
  <si>
    <t>7304092008500001</t>
  </si>
  <si>
    <t>7304092906150002</t>
  </si>
  <si>
    <t>7304090107890054</t>
  </si>
  <si>
    <t>7304091907120015</t>
  </si>
  <si>
    <t>7304091508860003</t>
  </si>
  <si>
    <t>SYAMSUDDIN</t>
  </si>
  <si>
    <t>SANSU LALANG</t>
  </si>
  <si>
    <t>7304091203200001</t>
  </si>
  <si>
    <t>7304083112850008</t>
  </si>
  <si>
    <t>SIDAN DG SOPPENG</t>
  </si>
  <si>
    <t>SATTURIA</t>
  </si>
  <si>
    <t>SALENG</t>
  </si>
  <si>
    <t>SAMPARA</t>
  </si>
  <si>
    <t>7304091303180009</t>
  </si>
  <si>
    <t>7304091304960002</t>
  </si>
  <si>
    <t>7304092511100001</t>
  </si>
  <si>
    <t>7304093112500011</t>
  </si>
  <si>
    <t>SATTUNIA</t>
  </si>
  <si>
    <t>7304091208160001</t>
  </si>
  <si>
    <t>7304095009750002</t>
  </si>
  <si>
    <t>7304091205090006</t>
  </si>
  <si>
    <t>7304092005450002</t>
  </si>
  <si>
    <t>LOMBA DG LA'LANG</t>
  </si>
  <si>
    <t>7317140706650001</t>
  </si>
  <si>
    <t>7304091001730001</t>
  </si>
  <si>
    <t>7304091401070031</t>
  </si>
  <si>
    <t>7304090409660001</t>
  </si>
  <si>
    <t>7304092112150006</t>
  </si>
  <si>
    <t>7304050303920001</t>
  </si>
  <si>
    <t xml:space="preserve">SAMPARA </t>
  </si>
  <si>
    <t>7304091407080003</t>
  </si>
  <si>
    <t>7304091306700002</t>
  </si>
  <si>
    <t>7304091801070049</t>
  </si>
  <si>
    <t>7304091207550001</t>
  </si>
  <si>
    <t>SIGA</t>
  </si>
  <si>
    <t>7304092912900001</t>
  </si>
  <si>
    <t>7304093011180004</t>
  </si>
  <si>
    <t>7304096506660002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</si>
</sst>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-Bold"/>
    </font>
    <font>
      <sz val="11"/>
      <color rgb="FF000000"/>
      <name val="Calibri"/>
      <family val="2"/>
      <scheme val="minor"/>
    </font>
    <font>
      <b/>
      <sz val="11"/>
      <color rgb="FF000000"/>
      <name val="Calibri-Bold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top" wrapText="1"/>
    </xf>
    <xf numFmtId="0" fontId="7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/>
    <xf numFmtId="0" fontId="0" fillId="0" borderId="4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0" xfId="0" quotePrefix="1"/>
    <xf numFmtId="0" fontId="0" fillId="0" borderId="4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4" borderId="1" xfId="0" quotePrefix="1" applyFill="1" applyBorder="1"/>
    <xf numFmtId="0" fontId="0" fillId="0" borderId="2" xfId="0" quotePrefix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2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at%20Input%20Pendataan%20SI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enduduk Sepeka"/>
      <sheetName val="Data Penduduk Monroloe"/>
      <sheetName val="Data Penduduk Pinyangka'bung"/>
      <sheetName val="Data Penduduk Kalukuang"/>
      <sheetName val="Kode Data"/>
      <sheetName val="Data Penduduk Buntulu"/>
    </sheetNames>
    <sheetDataSet>
      <sheetData sheetId="0" refreshError="1"/>
      <sheetData sheetId="1" refreshError="1"/>
      <sheetData sheetId="2">
        <row r="287">
          <cell r="C287" t="str">
            <v>7304091401070047</v>
          </cell>
          <cell r="D287" t="str">
            <v>7304090107650005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1"/>
  <sheetViews>
    <sheetView tabSelected="1" topLeftCell="B1" workbookViewId="0">
      <selection activeCell="Q22" sqref="Q22"/>
    </sheetView>
  </sheetViews>
  <sheetFormatPr defaultRowHeight="15"/>
  <cols>
    <col min="1" max="1" width="5" customWidth="1"/>
    <col min="2" max="2" width="0.140625" customWidth="1"/>
    <col min="3" max="3" width="17" customWidth="1"/>
    <col min="4" max="4" width="18.7109375" customWidth="1"/>
    <col min="5" max="5" width="26.28515625" customWidth="1"/>
    <col min="6" max="6" width="19.140625" customWidth="1"/>
    <col min="7" max="7" width="15.7109375" customWidth="1"/>
    <col min="8" max="8" width="11" customWidth="1"/>
    <col min="9" max="22" width="3.28515625" customWidth="1"/>
    <col min="23" max="23" width="8.42578125" customWidth="1"/>
    <col min="24" max="26" width="6.7109375" customWidth="1"/>
    <col min="27" max="27" width="13.42578125" customWidth="1"/>
    <col min="28" max="28" width="9.85546875" customWidth="1"/>
    <col min="29" max="29" width="10.140625" customWidth="1"/>
    <col min="30" max="30" width="16.28515625" customWidth="1"/>
  </cols>
  <sheetData>
    <row r="1" spans="1:30" ht="18.75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ht="18.75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8.75">
      <c r="A3" s="6" t="s">
        <v>66</v>
      </c>
      <c r="B3" s="6"/>
      <c r="C3" s="6" t="s">
        <v>70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8.75">
      <c r="A4" s="6" t="s">
        <v>67</v>
      </c>
      <c r="B4" s="6"/>
      <c r="C4" s="6" t="s">
        <v>71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8.75">
      <c r="A5" s="6" t="s">
        <v>68</v>
      </c>
      <c r="B5" s="6"/>
      <c r="C5" s="6" t="s">
        <v>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8.75">
      <c r="A6" s="6" t="s">
        <v>69</v>
      </c>
      <c r="B6" s="6"/>
      <c r="C6" s="6" t="s">
        <v>73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8" spans="1:30" ht="30" customHeight="1">
      <c r="A8" s="31" t="s">
        <v>0</v>
      </c>
      <c r="B8" s="34" t="s">
        <v>58</v>
      </c>
      <c r="C8" s="35"/>
      <c r="D8" s="31" t="s">
        <v>1</v>
      </c>
      <c r="E8" s="31" t="s">
        <v>59</v>
      </c>
      <c r="F8" s="31" t="s">
        <v>2</v>
      </c>
      <c r="G8" s="31" t="s">
        <v>3</v>
      </c>
      <c r="H8" s="31" t="s">
        <v>4</v>
      </c>
      <c r="I8" s="32" t="s">
        <v>5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 t="s">
        <v>6</v>
      </c>
      <c r="X8" s="32" t="s">
        <v>13</v>
      </c>
      <c r="Y8" s="32"/>
      <c r="Z8" s="32"/>
      <c r="AA8" s="32" t="s">
        <v>12</v>
      </c>
      <c r="AB8" s="32"/>
      <c r="AC8" s="32"/>
      <c r="AD8" s="31" t="s">
        <v>15</v>
      </c>
    </row>
    <row r="9" spans="1:30" ht="49.5" customHeight="1">
      <c r="A9" s="31"/>
      <c r="B9" s="36"/>
      <c r="C9" s="37"/>
      <c r="D9" s="31"/>
      <c r="E9" s="31"/>
      <c r="F9" s="31"/>
      <c r="G9" s="31"/>
      <c r="H9" s="31"/>
      <c r="I9" s="19">
        <v>1</v>
      </c>
      <c r="J9" s="19">
        <v>2</v>
      </c>
      <c r="K9" s="19">
        <v>3</v>
      </c>
      <c r="L9" s="19">
        <v>4</v>
      </c>
      <c r="M9" s="19">
        <v>5</v>
      </c>
      <c r="N9" s="19">
        <v>6</v>
      </c>
      <c r="O9" s="19">
        <v>7</v>
      </c>
      <c r="P9" s="19">
        <v>8</v>
      </c>
      <c r="Q9" s="19">
        <v>9</v>
      </c>
      <c r="R9" s="19">
        <v>10</v>
      </c>
      <c r="S9" s="19">
        <v>11</v>
      </c>
      <c r="T9" s="19">
        <v>12</v>
      </c>
      <c r="U9" s="19">
        <v>13</v>
      </c>
      <c r="V9" s="19">
        <v>14</v>
      </c>
      <c r="W9" s="32"/>
      <c r="X9" s="19" t="s">
        <v>7</v>
      </c>
      <c r="Y9" s="19" t="s">
        <v>8</v>
      </c>
      <c r="Z9" s="19" t="s">
        <v>9</v>
      </c>
      <c r="AA9" s="20" t="s">
        <v>14</v>
      </c>
      <c r="AB9" s="20" t="s">
        <v>10</v>
      </c>
      <c r="AC9" s="20" t="s">
        <v>11</v>
      </c>
      <c r="AD9" s="32"/>
    </row>
    <row r="10" spans="1:30" ht="20.100000000000001" customHeight="1">
      <c r="A10" s="7">
        <v>1</v>
      </c>
      <c r="B10" s="41" t="s">
        <v>487</v>
      </c>
      <c r="C10" s="42"/>
      <c r="D10" s="29" t="s">
        <v>488</v>
      </c>
      <c r="E10" s="3" t="s">
        <v>524</v>
      </c>
      <c r="F10" s="3" t="s">
        <v>88</v>
      </c>
      <c r="G10" s="3"/>
      <c r="H10" s="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f>COUNTIF(I10:V10,"V")</f>
        <v>0</v>
      </c>
      <c r="X10" s="7"/>
      <c r="Y10" s="7"/>
      <c r="Z10" s="7"/>
      <c r="AA10" s="7"/>
      <c r="AB10" s="7"/>
      <c r="AC10" s="7"/>
      <c r="AD10" s="7" t="s">
        <v>18</v>
      </c>
    </row>
    <row r="11" spans="1:30" ht="20.100000000000001" customHeight="1">
      <c r="A11" s="7">
        <v>2</v>
      </c>
      <c r="B11" s="46" t="s">
        <v>485</v>
      </c>
      <c r="C11" s="47"/>
      <c r="D11" s="22" t="s">
        <v>486</v>
      </c>
      <c r="E11" s="3" t="s">
        <v>74</v>
      </c>
      <c r="F11" s="3" t="s">
        <v>88</v>
      </c>
      <c r="G11" s="3"/>
      <c r="H11" s="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f t="shared" ref="W11:W97" si="0">COUNTIF(I11:V11,"V")</f>
        <v>0</v>
      </c>
      <c r="X11" s="7"/>
      <c r="Y11" s="7"/>
      <c r="Z11" s="7"/>
      <c r="AA11" s="7"/>
      <c r="AB11" s="7"/>
      <c r="AC11" s="7"/>
      <c r="AD11" s="7"/>
    </row>
    <row r="12" spans="1:30" ht="20.100000000000001" customHeight="1">
      <c r="A12" s="7">
        <v>3</v>
      </c>
      <c r="B12" s="46" t="s">
        <v>89</v>
      </c>
      <c r="C12" s="47"/>
      <c r="D12" s="22" t="s">
        <v>90</v>
      </c>
      <c r="E12" s="3" t="s">
        <v>547</v>
      </c>
      <c r="F12" s="3" t="s">
        <v>88</v>
      </c>
      <c r="G12" s="3"/>
      <c r="H12" s="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>
        <f t="shared" si="0"/>
        <v>0</v>
      </c>
      <c r="X12" s="7"/>
      <c r="Y12" s="7"/>
      <c r="Z12" s="7"/>
      <c r="AA12" s="7"/>
      <c r="AB12" s="7"/>
      <c r="AC12" s="7"/>
      <c r="AD12" s="7"/>
    </row>
    <row r="13" spans="1:30" ht="20.100000000000001" customHeight="1">
      <c r="A13" s="7">
        <v>4</v>
      </c>
      <c r="B13" s="46" t="s">
        <v>91</v>
      </c>
      <c r="C13" s="47"/>
      <c r="D13" s="22" t="s">
        <v>92</v>
      </c>
      <c r="E13" s="3" t="s">
        <v>75</v>
      </c>
      <c r="F13" s="3" t="s">
        <v>88</v>
      </c>
      <c r="G13" s="3"/>
      <c r="H13" s="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>
        <f t="shared" si="0"/>
        <v>0</v>
      </c>
      <c r="X13" s="7"/>
      <c r="Y13" s="7"/>
      <c r="Z13" s="7"/>
      <c r="AA13" s="7"/>
      <c r="AB13" s="7"/>
      <c r="AC13" s="7"/>
      <c r="AD13" s="7"/>
    </row>
    <row r="14" spans="1:30" ht="20.100000000000001" customHeight="1">
      <c r="A14" s="7">
        <v>5</v>
      </c>
      <c r="B14" s="46" t="s">
        <v>93</v>
      </c>
      <c r="C14" s="47"/>
      <c r="D14" s="22" t="s">
        <v>94</v>
      </c>
      <c r="E14" s="3" t="s">
        <v>76</v>
      </c>
      <c r="F14" s="3" t="s">
        <v>88</v>
      </c>
      <c r="G14" s="3"/>
      <c r="H14" s="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>
        <f t="shared" si="0"/>
        <v>0</v>
      </c>
      <c r="X14" s="7"/>
      <c r="Y14" s="7"/>
      <c r="Z14" s="7"/>
      <c r="AA14" s="7"/>
      <c r="AB14" s="7"/>
      <c r="AC14" s="7"/>
      <c r="AD14" s="7"/>
    </row>
    <row r="15" spans="1:30" ht="20.100000000000001" customHeight="1">
      <c r="A15" s="7">
        <v>6</v>
      </c>
      <c r="B15" s="46" t="s">
        <v>95</v>
      </c>
      <c r="C15" s="47"/>
      <c r="D15" s="22" t="s">
        <v>96</v>
      </c>
      <c r="E15" s="3" t="s">
        <v>77</v>
      </c>
      <c r="F15" s="3" t="s">
        <v>88</v>
      </c>
      <c r="G15" s="3"/>
      <c r="H15" s="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>
        <f t="shared" si="0"/>
        <v>0</v>
      </c>
      <c r="X15" s="7"/>
      <c r="Y15" s="7"/>
      <c r="Z15" s="7"/>
      <c r="AA15" s="7"/>
      <c r="AB15" s="7"/>
      <c r="AC15" s="7"/>
      <c r="AD15" s="7"/>
    </row>
    <row r="16" spans="1:30" ht="20.100000000000001" customHeight="1">
      <c r="A16" s="7">
        <v>7</v>
      </c>
      <c r="B16" s="46" t="s">
        <v>97</v>
      </c>
      <c r="C16" s="47"/>
      <c r="D16" s="22" t="s">
        <v>98</v>
      </c>
      <c r="E16" s="3" t="s">
        <v>78</v>
      </c>
      <c r="F16" s="3" t="s">
        <v>88</v>
      </c>
      <c r="G16" s="3"/>
      <c r="H16" s="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>
        <f t="shared" si="0"/>
        <v>0</v>
      </c>
      <c r="X16" s="7"/>
      <c r="Y16" s="7"/>
      <c r="Z16" s="7"/>
      <c r="AA16" s="7"/>
      <c r="AB16" s="7"/>
      <c r="AC16" s="7"/>
      <c r="AD16" s="7"/>
    </row>
    <row r="17" spans="1:30" ht="20.100000000000001" customHeight="1">
      <c r="A17" s="7">
        <v>8</v>
      </c>
      <c r="B17" s="46" t="s">
        <v>99</v>
      </c>
      <c r="C17" s="47"/>
      <c r="D17" s="22" t="s">
        <v>100</v>
      </c>
      <c r="E17" s="3" t="s">
        <v>529</v>
      </c>
      <c r="F17" s="3" t="s">
        <v>88</v>
      </c>
      <c r="G17" s="3"/>
      <c r="H17" s="3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>
        <f t="shared" si="0"/>
        <v>0</v>
      </c>
      <c r="X17" s="7"/>
      <c r="Y17" s="7"/>
      <c r="Z17" s="7"/>
      <c r="AA17" s="7"/>
      <c r="AB17" s="7"/>
      <c r="AC17" s="7"/>
      <c r="AD17" s="7"/>
    </row>
    <row r="18" spans="1:30" ht="20.100000000000001" customHeight="1">
      <c r="A18" s="7">
        <v>9</v>
      </c>
      <c r="B18" s="41" t="s">
        <v>99</v>
      </c>
      <c r="C18" s="42"/>
      <c r="D18" s="22" t="s">
        <v>101</v>
      </c>
      <c r="E18" s="3" t="s">
        <v>79</v>
      </c>
      <c r="F18" s="3" t="s">
        <v>88</v>
      </c>
      <c r="G18" s="3"/>
      <c r="H18" s="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>
        <f t="shared" si="0"/>
        <v>0</v>
      </c>
      <c r="X18" s="7"/>
      <c r="Y18" s="7"/>
      <c r="Z18" s="7"/>
      <c r="AA18" s="7"/>
      <c r="AB18" s="7"/>
      <c r="AC18" s="7"/>
      <c r="AD18" s="7"/>
    </row>
    <row r="19" spans="1:30" ht="20.100000000000001" customHeight="1">
      <c r="A19" s="7">
        <v>10</v>
      </c>
      <c r="B19" s="41" t="s">
        <v>328</v>
      </c>
      <c r="C19" s="42"/>
      <c r="D19" s="29" t="s">
        <v>542</v>
      </c>
      <c r="E19" s="3" t="s">
        <v>80</v>
      </c>
      <c r="F19" s="3" t="s">
        <v>88</v>
      </c>
      <c r="G19" s="3"/>
      <c r="H19" s="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>
        <f t="shared" si="0"/>
        <v>0</v>
      </c>
      <c r="X19" s="7"/>
      <c r="Y19" s="7"/>
      <c r="Z19" s="7"/>
      <c r="AA19" s="7"/>
      <c r="AB19" s="7"/>
      <c r="AC19" s="7"/>
      <c r="AD19" s="7"/>
    </row>
    <row r="20" spans="1:30" ht="20.100000000000001" customHeight="1">
      <c r="A20" s="7">
        <v>11</v>
      </c>
      <c r="B20" s="41" t="s">
        <v>329</v>
      </c>
      <c r="C20" s="42"/>
      <c r="D20" s="29" t="s">
        <v>555</v>
      </c>
      <c r="E20" s="3" t="s">
        <v>527</v>
      </c>
      <c r="F20" s="3" t="s">
        <v>88</v>
      </c>
      <c r="G20" s="3"/>
      <c r="H20" s="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>
        <f t="shared" si="0"/>
        <v>0</v>
      </c>
      <c r="X20" s="7"/>
      <c r="Y20" s="7"/>
      <c r="Z20" s="7"/>
      <c r="AA20" s="7"/>
      <c r="AB20" s="7"/>
      <c r="AC20" s="7"/>
      <c r="AD20" s="7"/>
    </row>
    <row r="21" spans="1:30" ht="20.100000000000001" customHeight="1">
      <c r="A21" s="7">
        <v>12</v>
      </c>
      <c r="B21" s="41" t="s">
        <v>330</v>
      </c>
      <c r="C21" s="42"/>
      <c r="D21" s="29" t="s">
        <v>541</v>
      </c>
      <c r="E21" s="3" t="s">
        <v>540</v>
      </c>
      <c r="F21" s="3" t="s">
        <v>88</v>
      </c>
      <c r="G21" s="3"/>
      <c r="H21" s="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>
        <f t="shared" si="0"/>
        <v>0</v>
      </c>
      <c r="X21" s="7"/>
      <c r="Y21" s="7"/>
      <c r="Z21" s="7"/>
      <c r="AA21" s="7"/>
      <c r="AB21" s="7"/>
      <c r="AC21" s="7"/>
      <c r="AD21" s="7"/>
    </row>
    <row r="22" spans="1:30" ht="20.100000000000001" customHeight="1">
      <c r="A22" s="7">
        <v>13</v>
      </c>
      <c r="B22" s="41" t="s">
        <v>489</v>
      </c>
      <c r="C22" s="42"/>
      <c r="D22" s="29" t="s">
        <v>490</v>
      </c>
      <c r="E22" s="3" t="s">
        <v>190</v>
      </c>
      <c r="F22" s="3" t="s">
        <v>88</v>
      </c>
      <c r="G22" s="3"/>
      <c r="H22" s="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>
        <f t="shared" si="0"/>
        <v>0</v>
      </c>
      <c r="X22" s="7"/>
      <c r="Y22" s="7"/>
      <c r="Z22" s="7"/>
      <c r="AA22" s="7"/>
      <c r="AB22" s="7"/>
      <c r="AC22" s="7"/>
      <c r="AD22" s="7"/>
    </row>
    <row r="23" spans="1:30" ht="20.100000000000001" customHeight="1">
      <c r="A23" s="7">
        <v>14</v>
      </c>
      <c r="B23" s="41" t="s">
        <v>533</v>
      </c>
      <c r="C23" s="42"/>
      <c r="D23" s="29" t="s">
        <v>534</v>
      </c>
      <c r="E23" s="3" t="s">
        <v>81</v>
      </c>
      <c r="F23" s="3" t="s">
        <v>88</v>
      </c>
      <c r="G23" s="3"/>
      <c r="H23" s="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>
        <f t="shared" si="0"/>
        <v>0</v>
      </c>
      <c r="X23" s="7"/>
      <c r="Y23" s="7"/>
      <c r="Z23" s="7"/>
      <c r="AA23" s="7"/>
      <c r="AB23" s="7"/>
      <c r="AC23" s="7"/>
      <c r="AD23" s="7"/>
    </row>
    <row r="24" spans="1:30" ht="20.100000000000001" customHeight="1">
      <c r="A24" s="7">
        <v>15</v>
      </c>
      <c r="B24" s="41" t="s">
        <v>548</v>
      </c>
      <c r="C24" s="42"/>
      <c r="D24" s="29" t="s">
        <v>549</v>
      </c>
      <c r="E24" s="3" t="s">
        <v>82</v>
      </c>
      <c r="F24" s="3" t="s">
        <v>88</v>
      </c>
      <c r="G24" s="3"/>
      <c r="H24" s="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>
        <f t="shared" si="0"/>
        <v>0</v>
      </c>
      <c r="X24" s="7"/>
      <c r="Y24" s="7"/>
      <c r="Z24" s="7"/>
      <c r="AA24" s="7"/>
      <c r="AB24" s="7"/>
      <c r="AC24" s="7"/>
      <c r="AD24" s="7"/>
    </row>
    <row r="25" spans="1:30" ht="20.100000000000001" customHeight="1">
      <c r="A25" s="7">
        <v>16</v>
      </c>
      <c r="B25" s="41" t="s">
        <v>538</v>
      </c>
      <c r="C25" s="42"/>
      <c r="D25" s="29" t="s">
        <v>539</v>
      </c>
      <c r="E25" s="3" t="s">
        <v>83</v>
      </c>
      <c r="F25" s="3" t="s">
        <v>88</v>
      </c>
      <c r="G25" s="3"/>
      <c r="H25" s="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>
        <f t="shared" si="0"/>
        <v>0</v>
      </c>
      <c r="X25" s="7"/>
      <c r="Y25" s="7"/>
      <c r="Z25" s="7"/>
      <c r="AA25" s="7"/>
      <c r="AB25" s="7"/>
      <c r="AC25" s="7"/>
      <c r="AD25" s="7"/>
    </row>
    <row r="26" spans="1:30" ht="20.100000000000001" customHeight="1">
      <c r="A26" s="7">
        <v>17</v>
      </c>
      <c r="B26" s="41" t="s">
        <v>536</v>
      </c>
      <c r="C26" s="42"/>
      <c r="D26" s="29" t="s">
        <v>537</v>
      </c>
      <c r="E26" s="3" t="s">
        <v>535</v>
      </c>
      <c r="F26" s="3" t="s">
        <v>88</v>
      </c>
      <c r="G26" s="3"/>
      <c r="H26" s="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>
        <f t="shared" si="0"/>
        <v>0</v>
      </c>
      <c r="X26" s="7"/>
      <c r="Y26" s="7"/>
      <c r="Z26" s="7"/>
      <c r="AA26" s="7"/>
      <c r="AB26" s="7"/>
      <c r="AC26" s="7"/>
      <c r="AD26" s="7"/>
    </row>
    <row r="27" spans="1:30" ht="20.100000000000001" customHeight="1">
      <c r="A27" s="7">
        <v>18</v>
      </c>
      <c r="B27" s="48" t="str">
        <f>'[1]Data Penduduk Pinyangka''bung'!$C$287</f>
        <v>7304091401070047</v>
      </c>
      <c r="C27" s="42"/>
      <c r="D27" s="29" t="str">
        <f>'[1]Data Penduduk Pinyangka''bung'!$D$287</f>
        <v>7304090107650005</v>
      </c>
      <c r="E27" s="3" t="s">
        <v>84</v>
      </c>
      <c r="F27" s="3" t="s">
        <v>88</v>
      </c>
      <c r="G27" s="3"/>
      <c r="H27" s="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>
        <f t="shared" si="0"/>
        <v>0</v>
      </c>
      <c r="X27" s="7"/>
      <c r="Y27" s="7"/>
      <c r="Z27" s="7"/>
      <c r="AA27" s="7"/>
      <c r="AB27" s="7"/>
      <c r="AC27" s="7"/>
      <c r="AD27" s="7"/>
    </row>
    <row r="28" spans="1:30" ht="20.100000000000001" customHeight="1">
      <c r="A28" s="7">
        <v>19</v>
      </c>
      <c r="B28" s="46" t="s">
        <v>102</v>
      </c>
      <c r="C28" s="47"/>
      <c r="D28" s="22" t="s">
        <v>103</v>
      </c>
      <c r="E28" s="3" t="s">
        <v>530</v>
      </c>
      <c r="F28" s="3" t="s">
        <v>88</v>
      </c>
      <c r="G28" s="3"/>
      <c r="H28" s="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>
        <f t="shared" si="0"/>
        <v>0</v>
      </c>
      <c r="X28" s="7"/>
      <c r="Y28" s="7"/>
      <c r="Z28" s="7"/>
      <c r="AA28" s="7"/>
      <c r="AB28" s="7"/>
      <c r="AC28" s="7"/>
      <c r="AD28" s="7"/>
    </row>
    <row r="29" spans="1:30" ht="20.100000000000001" customHeight="1">
      <c r="A29" s="7">
        <v>20</v>
      </c>
      <c r="B29" s="41" t="s">
        <v>531</v>
      </c>
      <c r="C29" s="42"/>
      <c r="D29" s="29" t="s">
        <v>532</v>
      </c>
      <c r="E29" s="3" t="s">
        <v>528</v>
      </c>
      <c r="F29" s="3" t="s">
        <v>88</v>
      </c>
      <c r="G29" s="3"/>
      <c r="H29" s="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>
        <f t="shared" si="0"/>
        <v>0</v>
      </c>
      <c r="X29" s="7"/>
      <c r="Y29" s="7"/>
      <c r="Z29" s="7"/>
      <c r="AA29" s="7"/>
      <c r="AB29" s="7"/>
      <c r="AC29" s="7"/>
      <c r="AD29" s="7"/>
    </row>
    <row r="30" spans="1:30" ht="20.100000000000001" customHeight="1">
      <c r="A30" s="7">
        <v>21</v>
      </c>
      <c r="B30" s="41" t="s">
        <v>545</v>
      </c>
      <c r="C30" s="42"/>
      <c r="D30" s="29" t="s">
        <v>546</v>
      </c>
      <c r="E30" s="3" t="s">
        <v>116</v>
      </c>
      <c r="F30" s="3" t="s">
        <v>88</v>
      </c>
      <c r="G30" s="3"/>
      <c r="H30" s="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>
        <f t="shared" si="0"/>
        <v>0</v>
      </c>
      <c r="X30" s="7"/>
      <c r="Y30" s="7"/>
      <c r="Z30" s="7"/>
      <c r="AA30" s="7"/>
      <c r="AB30" s="7"/>
      <c r="AC30" s="7"/>
      <c r="AD30" s="7"/>
    </row>
    <row r="31" spans="1:30" ht="20.100000000000001" customHeight="1">
      <c r="A31" s="7">
        <v>22</v>
      </c>
      <c r="B31" s="46" t="s">
        <v>525</v>
      </c>
      <c r="C31" s="47"/>
      <c r="D31" s="29" t="s">
        <v>526</v>
      </c>
      <c r="E31" s="3" t="s">
        <v>85</v>
      </c>
      <c r="F31" s="3" t="s">
        <v>88</v>
      </c>
      <c r="G31" s="3"/>
      <c r="H31" s="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>
        <f t="shared" si="0"/>
        <v>0</v>
      </c>
      <c r="X31" s="7"/>
      <c r="Y31" s="7"/>
      <c r="Z31" s="7"/>
      <c r="AA31" s="7"/>
      <c r="AB31" s="7"/>
      <c r="AC31" s="7"/>
      <c r="AD31" s="7"/>
    </row>
    <row r="32" spans="1:30" ht="20.100000000000001" customHeight="1">
      <c r="A32" s="7">
        <v>23</v>
      </c>
      <c r="B32" s="46" t="s">
        <v>104</v>
      </c>
      <c r="C32" s="47"/>
      <c r="D32" s="22" t="s">
        <v>105</v>
      </c>
      <c r="E32" s="3" t="s">
        <v>86</v>
      </c>
      <c r="F32" s="3" t="s">
        <v>88</v>
      </c>
      <c r="G32" s="3"/>
      <c r="H32" s="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>
        <f t="shared" si="0"/>
        <v>0</v>
      </c>
      <c r="X32" s="7"/>
      <c r="Y32" s="7"/>
      <c r="Z32" s="7"/>
      <c r="AA32" s="7"/>
      <c r="AB32" s="7"/>
      <c r="AC32" s="7"/>
      <c r="AD32" s="7"/>
    </row>
    <row r="33" spans="1:30" ht="20.100000000000001" customHeight="1">
      <c r="A33" s="7">
        <v>24</v>
      </c>
      <c r="B33" s="46" t="s">
        <v>554</v>
      </c>
      <c r="C33" s="47"/>
      <c r="D33" s="22" t="s">
        <v>106</v>
      </c>
      <c r="E33" s="3" t="s">
        <v>87</v>
      </c>
      <c r="F33" s="3" t="s">
        <v>88</v>
      </c>
      <c r="G33" s="3"/>
      <c r="H33" s="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f t="shared" si="0"/>
        <v>0</v>
      </c>
      <c r="X33" s="7"/>
      <c r="Y33" s="7"/>
      <c r="Z33" s="7"/>
      <c r="AA33" s="7"/>
      <c r="AB33" s="7"/>
      <c r="AC33" s="7"/>
      <c r="AD33" s="7"/>
    </row>
    <row r="34" spans="1:30" ht="20.100000000000001" customHeight="1">
      <c r="A34" s="7">
        <v>25</v>
      </c>
      <c r="B34" s="41" t="s">
        <v>543</v>
      </c>
      <c r="C34" s="42"/>
      <c r="D34" s="29" t="s">
        <v>544</v>
      </c>
      <c r="E34" s="3" t="s">
        <v>523</v>
      </c>
      <c r="F34" s="3" t="s">
        <v>88</v>
      </c>
      <c r="G34" s="3"/>
      <c r="H34" s="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>
        <f t="shared" si="0"/>
        <v>0</v>
      </c>
      <c r="X34" s="7"/>
      <c r="Y34" s="7"/>
      <c r="Z34" s="7"/>
      <c r="AA34" s="7"/>
      <c r="AB34" s="7"/>
      <c r="AC34" s="7"/>
      <c r="AD34" s="7"/>
    </row>
    <row r="35" spans="1:30" ht="20.100000000000001" customHeight="1">
      <c r="A35" s="7">
        <v>26</v>
      </c>
      <c r="B35" s="46" t="s">
        <v>109</v>
      </c>
      <c r="C35" s="47"/>
      <c r="D35" s="22" t="s">
        <v>110</v>
      </c>
      <c r="E35" s="3" t="s">
        <v>108</v>
      </c>
      <c r="F35" s="3" t="s">
        <v>107</v>
      </c>
      <c r="G35" s="3"/>
      <c r="H35" s="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>
        <f t="shared" si="0"/>
        <v>0</v>
      </c>
      <c r="X35" s="7"/>
      <c r="Y35" s="7"/>
      <c r="Z35" s="7"/>
      <c r="AA35" s="7"/>
      <c r="AB35" s="7"/>
      <c r="AC35" s="7"/>
      <c r="AD35" s="7"/>
    </row>
    <row r="36" spans="1:30" ht="20.100000000000001" customHeight="1">
      <c r="A36" s="7">
        <v>27</v>
      </c>
      <c r="B36" s="46" t="s">
        <v>112</v>
      </c>
      <c r="C36" s="47"/>
      <c r="D36" s="22" t="s">
        <v>553</v>
      </c>
      <c r="E36" s="3" t="s">
        <v>111</v>
      </c>
      <c r="F36" s="3" t="s">
        <v>107</v>
      </c>
      <c r="G36" s="3"/>
      <c r="H36" s="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>
        <f t="shared" si="0"/>
        <v>0</v>
      </c>
      <c r="X36" s="7"/>
      <c r="Y36" s="7"/>
      <c r="Z36" s="7"/>
      <c r="AA36" s="7"/>
      <c r="AB36" s="7"/>
      <c r="AC36" s="7"/>
      <c r="AD36" s="7"/>
    </row>
    <row r="37" spans="1:30" ht="20.100000000000001" customHeight="1">
      <c r="A37" s="7">
        <v>28</v>
      </c>
      <c r="B37" s="46" t="s">
        <v>114</v>
      </c>
      <c r="C37" s="47"/>
      <c r="D37" s="22" t="s">
        <v>115</v>
      </c>
      <c r="E37" s="3" t="s">
        <v>113</v>
      </c>
      <c r="F37" s="3" t="s">
        <v>107</v>
      </c>
      <c r="G37" s="3"/>
      <c r="H37" s="3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>
        <f t="shared" si="0"/>
        <v>0</v>
      </c>
      <c r="X37" s="7"/>
      <c r="Y37" s="7"/>
      <c r="Z37" s="7"/>
      <c r="AA37" s="7"/>
      <c r="AB37" s="7"/>
      <c r="AC37" s="7"/>
      <c r="AD37" s="7"/>
    </row>
    <row r="38" spans="1:30" ht="20.100000000000001" customHeight="1">
      <c r="A38" s="7">
        <v>29</v>
      </c>
      <c r="B38" s="46" t="s">
        <v>117</v>
      </c>
      <c r="C38" s="47"/>
      <c r="D38" s="22" t="s">
        <v>118</v>
      </c>
      <c r="E38" s="3" t="s">
        <v>116</v>
      </c>
      <c r="F38" s="3" t="s">
        <v>107</v>
      </c>
      <c r="G38" s="3"/>
      <c r="H38" s="3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f t="shared" si="0"/>
        <v>0</v>
      </c>
      <c r="X38" s="7"/>
      <c r="Y38" s="7"/>
      <c r="Z38" s="7"/>
      <c r="AA38" s="7"/>
      <c r="AB38" s="7"/>
      <c r="AC38" s="7"/>
      <c r="AD38" s="7"/>
    </row>
    <row r="39" spans="1:30" ht="20.100000000000001" customHeight="1">
      <c r="A39" s="7">
        <v>30</v>
      </c>
      <c r="B39" s="46" t="s">
        <v>142</v>
      </c>
      <c r="C39" s="47"/>
      <c r="D39" s="22" t="s">
        <v>143</v>
      </c>
      <c r="E39" s="3" t="s">
        <v>119</v>
      </c>
      <c r="F39" s="3" t="s">
        <v>107</v>
      </c>
      <c r="G39" s="3"/>
      <c r="H39" s="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>
        <f t="shared" si="0"/>
        <v>0</v>
      </c>
      <c r="X39" s="7"/>
      <c r="Y39" s="7"/>
      <c r="Z39" s="7"/>
      <c r="AA39" s="7"/>
      <c r="AB39" s="7"/>
      <c r="AC39" s="7"/>
      <c r="AD39" s="7"/>
    </row>
    <row r="40" spans="1:30" ht="20.100000000000001" customHeight="1">
      <c r="A40" s="7">
        <v>31</v>
      </c>
      <c r="B40" s="46" t="s">
        <v>144</v>
      </c>
      <c r="C40" s="47"/>
      <c r="D40" s="22" t="s">
        <v>145</v>
      </c>
      <c r="E40" s="3" t="s">
        <v>120</v>
      </c>
      <c r="F40" s="3" t="s">
        <v>107</v>
      </c>
      <c r="G40" s="3"/>
      <c r="H40" s="3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>
        <f t="shared" si="0"/>
        <v>0</v>
      </c>
      <c r="X40" s="7"/>
      <c r="Y40" s="7"/>
      <c r="Z40" s="7"/>
      <c r="AA40" s="7"/>
      <c r="AB40" s="7"/>
      <c r="AC40" s="7"/>
      <c r="AD40" s="7"/>
    </row>
    <row r="41" spans="1:30" ht="20.100000000000001" customHeight="1">
      <c r="A41" s="7">
        <v>32</v>
      </c>
      <c r="B41" s="46" t="s">
        <v>146</v>
      </c>
      <c r="C41" s="47"/>
      <c r="D41" s="22" t="s">
        <v>147</v>
      </c>
      <c r="E41" s="3" t="s">
        <v>121</v>
      </c>
      <c r="F41" s="3" t="s">
        <v>107</v>
      </c>
      <c r="G41" s="3"/>
      <c r="H41" s="3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f t="shared" si="0"/>
        <v>0</v>
      </c>
      <c r="X41" s="7"/>
      <c r="Y41" s="7"/>
      <c r="Z41" s="7"/>
      <c r="AA41" s="7"/>
      <c r="AB41" s="7"/>
      <c r="AC41" s="7"/>
      <c r="AD41" s="7"/>
    </row>
    <row r="42" spans="1:30" ht="20.100000000000001" customHeight="1">
      <c r="A42" s="7">
        <v>33</v>
      </c>
      <c r="B42" s="46" t="s">
        <v>148</v>
      </c>
      <c r="C42" s="47"/>
      <c r="D42" s="22" t="s">
        <v>149</v>
      </c>
      <c r="E42" s="3" t="s">
        <v>122</v>
      </c>
      <c r="F42" s="3" t="s">
        <v>107</v>
      </c>
      <c r="G42" s="3"/>
      <c r="H42" s="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f t="shared" si="0"/>
        <v>0</v>
      </c>
      <c r="X42" s="7"/>
      <c r="Y42" s="7"/>
      <c r="Z42" s="7"/>
      <c r="AA42" s="7"/>
      <c r="AB42" s="7"/>
      <c r="AC42" s="7"/>
      <c r="AD42" s="7"/>
    </row>
    <row r="43" spans="1:30" ht="20.100000000000001" customHeight="1">
      <c r="A43" s="7">
        <v>34</v>
      </c>
      <c r="B43" s="46" t="s">
        <v>151</v>
      </c>
      <c r="C43" s="47"/>
      <c r="D43" s="22" t="s">
        <v>150</v>
      </c>
      <c r="E43" s="3" t="s">
        <v>123</v>
      </c>
      <c r="F43" s="3" t="s">
        <v>107</v>
      </c>
      <c r="G43" s="3"/>
      <c r="H43" s="3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>
        <f t="shared" si="0"/>
        <v>0</v>
      </c>
      <c r="X43" s="7"/>
      <c r="Y43" s="7"/>
      <c r="Z43" s="7"/>
      <c r="AA43" s="7"/>
      <c r="AB43" s="7"/>
      <c r="AC43" s="7"/>
      <c r="AD43" s="7"/>
    </row>
    <row r="44" spans="1:30" ht="20.100000000000001" customHeight="1">
      <c r="A44" s="7">
        <v>35</v>
      </c>
      <c r="B44" s="46" t="s">
        <v>152</v>
      </c>
      <c r="C44" s="47"/>
      <c r="D44" s="22" t="s">
        <v>153</v>
      </c>
      <c r="E44" s="3" t="s">
        <v>124</v>
      </c>
      <c r="F44" s="3" t="s">
        <v>107</v>
      </c>
      <c r="G44" s="3"/>
      <c r="H44" s="3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>
        <f t="shared" si="0"/>
        <v>0</v>
      </c>
      <c r="X44" s="7"/>
      <c r="Y44" s="7"/>
      <c r="Z44" s="7"/>
      <c r="AA44" s="7"/>
      <c r="AB44" s="7"/>
      <c r="AC44" s="7"/>
      <c r="AD44" s="7"/>
    </row>
    <row r="45" spans="1:30" ht="20.100000000000001" customHeight="1">
      <c r="A45" s="7">
        <v>36</v>
      </c>
      <c r="B45" s="46" t="s">
        <v>155</v>
      </c>
      <c r="C45" s="47"/>
      <c r="D45" s="22" t="s">
        <v>154</v>
      </c>
      <c r="E45" s="3" t="s">
        <v>125</v>
      </c>
      <c r="F45" s="3" t="s">
        <v>107</v>
      </c>
      <c r="G45" s="3"/>
      <c r="H45" s="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>
        <f t="shared" si="0"/>
        <v>0</v>
      </c>
      <c r="X45" s="7"/>
      <c r="Y45" s="7"/>
      <c r="Z45" s="7"/>
      <c r="AA45" s="7"/>
      <c r="AB45" s="7"/>
      <c r="AC45" s="7"/>
      <c r="AD45" s="7"/>
    </row>
    <row r="46" spans="1:30" ht="20.100000000000001" customHeight="1">
      <c r="A46" s="7">
        <v>37</v>
      </c>
      <c r="B46" s="46" t="s">
        <v>156</v>
      </c>
      <c r="C46" s="47"/>
      <c r="D46" s="22" t="s">
        <v>157</v>
      </c>
      <c r="E46" s="3" t="s">
        <v>126</v>
      </c>
      <c r="F46" s="3" t="s">
        <v>107</v>
      </c>
      <c r="G46" s="3"/>
      <c r="H46" s="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>
        <f t="shared" si="0"/>
        <v>0</v>
      </c>
      <c r="X46" s="7"/>
      <c r="Y46" s="7"/>
      <c r="Z46" s="7"/>
      <c r="AA46" s="7"/>
      <c r="AB46" s="7"/>
      <c r="AC46" s="7"/>
      <c r="AD46" s="7"/>
    </row>
    <row r="47" spans="1:30" ht="20.100000000000001" customHeight="1">
      <c r="A47" s="7">
        <v>38</v>
      </c>
      <c r="B47" s="46" t="s">
        <v>159</v>
      </c>
      <c r="C47" s="47"/>
      <c r="D47" s="22" t="s">
        <v>158</v>
      </c>
      <c r="E47" s="3" t="s">
        <v>127</v>
      </c>
      <c r="F47" s="3" t="s">
        <v>107</v>
      </c>
      <c r="G47" s="3"/>
      <c r="H47" s="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>
        <f t="shared" si="0"/>
        <v>0</v>
      </c>
      <c r="X47" s="7"/>
      <c r="Y47" s="7"/>
      <c r="Z47" s="7"/>
      <c r="AA47" s="7"/>
      <c r="AB47" s="7"/>
      <c r="AC47" s="7"/>
      <c r="AD47" s="7"/>
    </row>
    <row r="48" spans="1:30" ht="20.100000000000001" customHeight="1">
      <c r="A48" s="7">
        <v>39</v>
      </c>
      <c r="B48" s="46" t="s">
        <v>161</v>
      </c>
      <c r="C48" s="47"/>
      <c r="D48" s="22" t="s">
        <v>160</v>
      </c>
      <c r="E48" s="3" t="s">
        <v>128</v>
      </c>
      <c r="F48" s="3" t="s">
        <v>107</v>
      </c>
      <c r="G48" s="3"/>
      <c r="H48" s="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>
        <f t="shared" si="0"/>
        <v>0</v>
      </c>
      <c r="X48" s="7"/>
      <c r="Y48" s="7"/>
      <c r="Z48" s="7"/>
      <c r="AA48" s="7"/>
      <c r="AB48" s="7"/>
      <c r="AC48" s="7"/>
      <c r="AD48" s="7"/>
    </row>
    <row r="49" spans="1:30" ht="20.100000000000001" customHeight="1">
      <c r="A49" s="7">
        <v>40</v>
      </c>
      <c r="B49" s="46" t="s">
        <v>162</v>
      </c>
      <c r="C49" s="47"/>
      <c r="D49" s="22" t="s">
        <v>163</v>
      </c>
      <c r="E49" s="3" t="s">
        <v>129</v>
      </c>
      <c r="F49" s="3" t="s">
        <v>107</v>
      </c>
      <c r="G49" s="3"/>
      <c r="H49" s="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>
        <f t="shared" si="0"/>
        <v>0</v>
      </c>
      <c r="X49" s="7"/>
      <c r="Y49" s="7"/>
      <c r="Z49" s="7"/>
      <c r="AA49" s="7"/>
      <c r="AB49" s="7"/>
      <c r="AC49" s="7"/>
      <c r="AD49" s="7"/>
    </row>
    <row r="50" spans="1:30" ht="20.100000000000001" customHeight="1">
      <c r="A50" s="7">
        <v>41</v>
      </c>
      <c r="B50" s="46" t="s">
        <v>165</v>
      </c>
      <c r="C50" s="47"/>
      <c r="D50" s="22" t="s">
        <v>164</v>
      </c>
      <c r="E50" s="3" t="s">
        <v>130</v>
      </c>
      <c r="F50" s="3" t="s">
        <v>107</v>
      </c>
      <c r="G50" s="3"/>
      <c r="H50" s="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>
        <f t="shared" si="0"/>
        <v>0</v>
      </c>
      <c r="X50" s="7"/>
      <c r="Y50" s="7"/>
      <c r="Z50" s="7"/>
      <c r="AA50" s="7"/>
      <c r="AB50" s="7"/>
      <c r="AC50" s="7"/>
      <c r="AD50" s="7"/>
    </row>
    <row r="51" spans="1:30" ht="20.100000000000001" customHeight="1">
      <c r="A51" s="7">
        <v>42</v>
      </c>
      <c r="B51" s="46" t="s">
        <v>166</v>
      </c>
      <c r="C51" s="47"/>
      <c r="D51" s="22" t="s">
        <v>167</v>
      </c>
      <c r="E51" s="3" t="s">
        <v>131</v>
      </c>
      <c r="F51" s="3" t="s">
        <v>107</v>
      </c>
      <c r="G51" s="3"/>
      <c r="H51" s="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>
        <f t="shared" si="0"/>
        <v>0</v>
      </c>
      <c r="X51" s="7"/>
      <c r="Y51" s="7"/>
      <c r="Z51" s="7"/>
      <c r="AA51" s="7"/>
      <c r="AB51" s="7"/>
      <c r="AC51" s="7"/>
      <c r="AD51" s="7"/>
    </row>
    <row r="52" spans="1:30" ht="20.100000000000001" customHeight="1">
      <c r="A52" s="7">
        <v>43</v>
      </c>
      <c r="B52" s="46" t="s">
        <v>169</v>
      </c>
      <c r="C52" s="47"/>
      <c r="D52" s="22" t="s">
        <v>168</v>
      </c>
      <c r="E52" s="3" t="s">
        <v>132</v>
      </c>
      <c r="F52" s="3" t="s">
        <v>107</v>
      </c>
      <c r="G52" s="3"/>
      <c r="H52" s="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>
        <f t="shared" si="0"/>
        <v>0</v>
      </c>
      <c r="X52" s="7"/>
      <c r="Y52" s="7"/>
      <c r="Z52" s="7"/>
      <c r="AA52" s="7"/>
      <c r="AB52" s="7"/>
      <c r="AC52" s="7"/>
      <c r="AD52" s="7"/>
    </row>
    <row r="53" spans="1:30" ht="20.100000000000001" customHeight="1">
      <c r="A53" s="7">
        <v>44</v>
      </c>
      <c r="B53" s="46" t="s">
        <v>170</v>
      </c>
      <c r="C53" s="47"/>
      <c r="D53" s="22" t="s">
        <v>171</v>
      </c>
      <c r="E53" s="3" t="s">
        <v>133</v>
      </c>
      <c r="F53" s="3" t="s">
        <v>107</v>
      </c>
      <c r="G53" s="3"/>
      <c r="H53" s="3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f t="shared" si="0"/>
        <v>0</v>
      </c>
      <c r="X53" s="7"/>
      <c r="Y53" s="7"/>
      <c r="Z53" s="7"/>
      <c r="AA53" s="7"/>
      <c r="AB53" s="7"/>
      <c r="AC53" s="7"/>
      <c r="AD53" s="7"/>
    </row>
    <row r="54" spans="1:30" ht="20.100000000000001" customHeight="1">
      <c r="A54" s="7">
        <v>45</v>
      </c>
      <c r="B54" s="46" t="s">
        <v>173</v>
      </c>
      <c r="C54" s="47"/>
      <c r="D54" s="22" t="s">
        <v>172</v>
      </c>
      <c r="E54" s="3" t="s">
        <v>134</v>
      </c>
      <c r="F54" s="3" t="s">
        <v>107</v>
      </c>
      <c r="G54" s="3"/>
      <c r="H54" s="3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>
        <f t="shared" si="0"/>
        <v>0</v>
      </c>
      <c r="X54" s="7"/>
      <c r="Y54" s="7"/>
      <c r="Z54" s="7"/>
      <c r="AA54" s="7"/>
      <c r="AB54" s="7"/>
      <c r="AC54" s="7"/>
      <c r="AD54" s="7"/>
    </row>
    <row r="55" spans="1:30" ht="20.100000000000001" customHeight="1">
      <c r="A55" s="7">
        <v>46</v>
      </c>
      <c r="B55" s="46" t="s">
        <v>174</v>
      </c>
      <c r="C55" s="47"/>
      <c r="D55" s="22" t="s">
        <v>175</v>
      </c>
      <c r="E55" s="3" t="s">
        <v>135</v>
      </c>
      <c r="F55" s="3" t="s">
        <v>107</v>
      </c>
      <c r="G55" s="3"/>
      <c r="H55" s="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>
        <f t="shared" si="0"/>
        <v>0</v>
      </c>
      <c r="X55" s="7"/>
      <c r="Y55" s="7"/>
      <c r="Z55" s="7"/>
      <c r="AA55" s="7"/>
      <c r="AB55" s="7"/>
      <c r="AC55" s="7"/>
      <c r="AD55" s="7"/>
    </row>
    <row r="56" spans="1:30" ht="20.100000000000001" customHeight="1">
      <c r="A56" s="7">
        <v>47</v>
      </c>
      <c r="B56" s="46" t="s">
        <v>177</v>
      </c>
      <c r="C56" s="47"/>
      <c r="D56" s="22" t="s">
        <v>176</v>
      </c>
      <c r="E56" s="3" t="s">
        <v>136</v>
      </c>
      <c r="F56" s="3" t="s">
        <v>107</v>
      </c>
      <c r="G56" s="3"/>
      <c r="H56" s="3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f t="shared" si="0"/>
        <v>0</v>
      </c>
      <c r="X56" s="7"/>
      <c r="Y56" s="7"/>
      <c r="Z56" s="7"/>
      <c r="AA56" s="7"/>
      <c r="AB56" s="7"/>
      <c r="AC56" s="7"/>
      <c r="AD56" s="7"/>
    </row>
    <row r="57" spans="1:30" ht="20.100000000000001" customHeight="1">
      <c r="A57" s="7">
        <v>48</v>
      </c>
      <c r="B57" s="46" t="s">
        <v>178</v>
      </c>
      <c r="C57" s="47"/>
      <c r="D57" s="22" t="s">
        <v>179</v>
      </c>
      <c r="E57" s="3" t="s">
        <v>137</v>
      </c>
      <c r="F57" s="3" t="s">
        <v>107</v>
      </c>
      <c r="G57" s="3"/>
      <c r="H57" s="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f t="shared" si="0"/>
        <v>0</v>
      </c>
      <c r="X57" s="7"/>
      <c r="Y57" s="7"/>
      <c r="Z57" s="7"/>
      <c r="AA57" s="7"/>
      <c r="AB57" s="7"/>
      <c r="AC57" s="7"/>
      <c r="AD57" s="7"/>
    </row>
    <row r="58" spans="1:30" ht="20.100000000000001" customHeight="1">
      <c r="A58" s="7">
        <v>49</v>
      </c>
      <c r="B58" s="46" t="s">
        <v>181</v>
      </c>
      <c r="C58" s="47"/>
      <c r="D58" s="22" t="s">
        <v>180</v>
      </c>
      <c r="E58" s="3" t="s">
        <v>138</v>
      </c>
      <c r="F58" s="3" t="s">
        <v>107</v>
      </c>
      <c r="G58" s="3"/>
      <c r="H58" s="3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>
        <f t="shared" si="0"/>
        <v>0</v>
      </c>
      <c r="X58" s="7"/>
      <c r="Y58" s="7"/>
      <c r="Z58" s="7"/>
      <c r="AA58" s="7"/>
      <c r="AB58" s="7"/>
      <c r="AC58" s="7"/>
      <c r="AD58" s="7"/>
    </row>
    <row r="59" spans="1:30" ht="20.100000000000001" customHeight="1">
      <c r="A59" s="7">
        <v>50</v>
      </c>
      <c r="B59" s="46" t="s">
        <v>182</v>
      </c>
      <c r="C59" s="47"/>
      <c r="D59" s="22" t="s">
        <v>183</v>
      </c>
      <c r="E59" s="3" t="s">
        <v>139</v>
      </c>
      <c r="F59" s="3" t="s">
        <v>107</v>
      </c>
      <c r="G59" s="3"/>
      <c r="H59" s="3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>
        <f t="shared" si="0"/>
        <v>0</v>
      </c>
      <c r="X59" s="7"/>
      <c r="Y59" s="7"/>
      <c r="Z59" s="7"/>
      <c r="AA59" s="7"/>
      <c r="AB59" s="7"/>
      <c r="AC59" s="7"/>
      <c r="AD59" s="7"/>
    </row>
    <row r="60" spans="1:30" ht="20.100000000000001" customHeight="1">
      <c r="A60" s="7">
        <v>51</v>
      </c>
      <c r="B60" s="46" t="s">
        <v>185</v>
      </c>
      <c r="C60" s="47"/>
      <c r="D60" s="22" t="s">
        <v>184</v>
      </c>
      <c r="E60" s="3" t="s">
        <v>140</v>
      </c>
      <c r="F60" s="3" t="s">
        <v>107</v>
      </c>
      <c r="G60" s="3"/>
      <c r="H60" s="3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>
        <f t="shared" si="0"/>
        <v>0</v>
      </c>
      <c r="X60" s="7"/>
      <c r="Y60" s="7"/>
      <c r="Z60" s="7"/>
      <c r="AA60" s="7"/>
      <c r="AB60" s="7"/>
      <c r="AC60" s="7"/>
      <c r="AD60" s="7"/>
    </row>
    <row r="61" spans="1:30" ht="20.100000000000001" customHeight="1">
      <c r="A61" s="7">
        <v>52</v>
      </c>
      <c r="B61" s="43" t="s">
        <v>186</v>
      </c>
      <c r="C61" s="44"/>
      <c r="D61" s="22" t="s">
        <v>187</v>
      </c>
      <c r="E61" s="3" t="s">
        <v>141</v>
      </c>
      <c r="F61" s="3" t="s">
        <v>107</v>
      </c>
      <c r="G61" s="3"/>
      <c r="H61" s="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>
        <f t="shared" si="0"/>
        <v>0</v>
      </c>
      <c r="X61" s="7"/>
      <c r="Y61" s="7"/>
      <c r="Z61" s="7"/>
      <c r="AA61" s="7"/>
      <c r="AB61" s="7"/>
      <c r="AC61" s="7"/>
      <c r="AD61" s="7"/>
    </row>
    <row r="62" spans="1:30" ht="20.100000000000001" customHeight="1">
      <c r="A62" s="7">
        <v>53</v>
      </c>
      <c r="B62" s="43" t="s">
        <v>216</v>
      </c>
      <c r="C62" s="44"/>
      <c r="D62" s="22" t="s">
        <v>201</v>
      </c>
      <c r="E62" s="3" t="s">
        <v>188</v>
      </c>
      <c r="F62" s="3" t="s">
        <v>107</v>
      </c>
      <c r="G62" s="3"/>
      <c r="H62" s="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>
        <f t="shared" si="0"/>
        <v>0</v>
      </c>
      <c r="X62" s="7"/>
      <c r="Y62" s="7"/>
      <c r="Z62" s="7"/>
      <c r="AA62" s="7"/>
      <c r="AB62" s="7"/>
      <c r="AC62" s="7"/>
      <c r="AD62" s="7"/>
    </row>
    <row r="63" spans="1:30" ht="20.100000000000001" customHeight="1">
      <c r="A63" s="7">
        <v>54</v>
      </c>
      <c r="B63" s="43" t="s">
        <v>217</v>
      </c>
      <c r="C63" s="44"/>
      <c r="D63" s="22" t="s">
        <v>202</v>
      </c>
      <c r="E63" s="3" t="s">
        <v>189</v>
      </c>
      <c r="F63" s="3" t="s">
        <v>107</v>
      </c>
      <c r="G63" s="3"/>
      <c r="H63" s="3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>
        <f t="shared" si="0"/>
        <v>0</v>
      </c>
      <c r="X63" s="7"/>
      <c r="Y63" s="7"/>
      <c r="Z63" s="7"/>
      <c r="AA63" s="7"/>
      <c r="AB63" s="7"/>
      <c r="AC63" s="7"/>
      <c r="AD63" s="7"/>
    </row>
    <row r="64" spans="1:30" ht="20.100000000000001" customHeight="1">
      <c r="A64" s="7">
        <v>55</v>
      </c>
      <c r="B64" s="43" t="s">
        <v>218</v>
      </c>
      <c r="C64" s="44"/>
      <c r="D64" s="22" t="s">
        <v>203</v>
      </c>
      <c r="E64" s="3" t="s">
        <v>136</v>
      </c>
      <c r="F64" s="3" t="s">
        <v>107</v>
      </c>
      <c r="G64" s="3"/>
      <c r="H64" s="3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>
        <f t="shared" si="0"/>
        <v>0</v>
      </c>
      <c r="X64" s="7"/>
      <c r="Y64" s="7"/>
      <c r="Z64" s="7"/>
      <c r="AA64" s="7"/>
      <c r="AB64" s="7"/>
      <c r="AC64" s="7"/>
      <c r="AD64" s="7"/>
    </row>
    <row r="65" spans="1:30" ht="20.100000000000001" customHeight="1">
      <c r="A65" s="7">
        <v>56</v>
      </c>
      <c r="B65" s="43" t="s">
        <v>219</v>
      </c>
      <c r="C65" s="44"/>
      <c r="D65" s="22" t="s">
        <v>204</v>
      </c>
      <c r="E65" s="3" t="s">
        <v>190</v>
      </c>
      <c r="F65" s="3" t="s">
        <v>107</v>
      </c>
      <c r="G65" s="3"/>
      <c r="H65" s="3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>
        <f t="shared" si="0"/>
        <v>0</v>
      </c>
      <c r="X65" s="7"/>
      <c r="Y65" s="7"/>
      <c r="Z65" s="7"/>
      <c r="AA65" s="7"/>
      <c r="AB65" s="7"/>
      <c r="AC65" s="7"/>
      <c r="AD65" s="7"/>
    </row>
    <row r="66" spans="1:30" ht="20.100000000000001" customHeight="1">
      <c r="A66" s="7">
        <v>57</v>
      </c>
      <c r="B66" s="43" t="s">
        <v>220</v>
      </c>
      <c r="C66" s="44"/>
      <c r="D66" s="22" t="s">
        <v>205</v>
      </c>
      <c r="E66" s="3" t="s">
        <v>191</v>
      </c>
      <c r="F66" s="3" t="s">
        <v>107</v>
      </c>
      <c r="G66" s="3"/>
      <c r="H66" s="3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>
        <f t="shared" si="0"/>
        <v>0</v>
      </c>
      <c r="X66" s="7"/>
      <c r="Y66" s="7"/>
      <c r="Z66" s="7"/>
      <c r="AA66" s="7"/>
      <c r="AB66" s="7"/>
      <c r="AC66" s="7"/>
      <c r="AD66" s="7"/>
    </row>
    <row r="67" spans="1:30" ht="20.100000000000001" customHeight="1">
      <c r="A67" s="7">
        <v>58</v>
      </c>
      <c r="B67" s="43" t="s">
        <v>221</v>
      </c>
      <c r="C67" s="44"/>
      <c r="D67" s="22" t="s">
        <v>206</v>
      </c>
      <c r="E67" s="3" t="s">
        <v>192</v>
      </c>
      <c r="F67" s="3" t="s">
        <v>107</v>
      </c>
      <c r="G67" s="3"/>
      <c r="H67" s="3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>
        <f t="shared" si="0"/>
        <v>0</v>
      </c>
      <c r="X67" s="7"/>
      <c r="Y67" s="7"/>
      <c r="Z67" s="7"/>
      <c r="AA67" s="7"/>
      <c r="AB67" s="7"/>
      <c r="AC67" s="7"/>
      <c r="AD67" s="7"/>
    </row>
    <row r="68" spans="1:30" ht="20.100000000000001" customHeight="1">
      <c r="A68" s="7">
        <v>59</v>
      </c>
      <c r="B68" s="43" t="s">
        <v>222</v>
      </c>
      <c r="C68" s="44"/>
      <c r="D68" s="22" t="s">
        <v>207</v>
      </c>
      <c r="E68" s="3" t="s">
        <v>193</v>
      </c>
      <c r="F68" s="3" t="s">
        <v>107</v>
      </c>
      <c r="G68" s="3"/>
      <c r="H68" s="3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>
        <f t="shared" si="0"/>
        <v>0</v>
      </c>
      <c r="X68" s="7"/>
      <c r="Y68" s="7"/>
      <c r="Z68" s="7"/>
      <c r="AA68" s="7"/>
      <c r="AB68" s="7"/>
      <c r="AC68" s="7"/>
      <c r="AD68" s="7"/>
    </row>
    <row r="69" spans="1:30" ht="20.100000000000001" customHeight="1">
      <c r="A69" s="7">
        <v>60</v>
      </c>
      <c r="B69" s="43" t="s">
        <v>223</v>
      </c>
      <c r="C69" s="44"/>
      <c r="D69" s="22" t="s">
        <v>208</v>
      </c>
      <c r="E69" s="3" t="s">
        <v>194</v>
      </c>
      <c r="F69" s="3" t="s">
        <v>107</v>
      </c>
      <c r="G69" s="3"/>
      <c r="H69" s="3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>
        <f t="shared" si="0"/>
        <v>0</v>
      </c>
      <c r="X69" s="7"/>
      <c r="Y69" s="7"/>
      <c r="Z69" s="7"/>
      <c r="AA69" s="7"/>
      <c r="AB69" s="7"/>
      <c r="AC69" s="7"/>
      <c r="AD69" s="7"/>
    </row>
    <row r="70" spans="1:30" ht="20.100000000000001" customHeight="1">
      <c r="A70" s="7">
        <v>61</v>
      </c>
      <c r="B70" s="43" t="s">
        <v>224</v>
      </c>
      <c r="C70" s="44"/>
      <c r="D70" s="22" t="s">
        <v>209</v>
      </c>
      <c r="E70" s="3" t="s">
        <v>195</v>
      </c>
      <c r="F70" s="3" t="s">
        <v>107</v>
      </c>
      <c r="G70" s="3"/>
      <c r="H70" s="3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>
        <f t="shared" si="0"/>
        <v>0</v>
      </c>
      <c r="X70" s="7"/>
      <c r="Y70" s="7"/>
      <c r="Z70" s="7"/>
      <c r="AA70" s="7"/>
      <c r="AB70" s="7"/>
      <c r="AC70" s="7"/>
      <c r="AD70" s="7"/>
    </row>
    <row r="71" spans="1:30" ht="20.100000000000001" customHeight="1">
      <c r="A71" s="7">
        <v>62</v>
      </c>
      <c r="B71" s="43" t="s">
        <v>225</v>
      </c>
      <c r="C71" s="44"/>
      <c r="D71" s="22" t="s">
        <v>210</v>
      </c>
      <c r="E71" s="3" t="s">
        <v>196</v>
      </c>
      <c r="F71" s="3" t="s">
        <v>107</v>
      </c>
      <c r="G71" s="3"/>
      <c r="H71" s="3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>
        <f t="shared" si="0"/>
        <v>0</v>
      </c>
      <c r="X71" s="7"/>
      <c r="Y71" s="7"/>
      <c r="Z71" s="7"/>
      <c r="AA71" s="7"/>
      <c r="AB71" s="7"/>
      <c r="AC71" s="7"/>
      <c r="AD71" s="7"/>
    </row>
    <row r="72" spans="1:30" ht="20.100000000000001" customHeight="1">
      <c r="A72" s="7">
        <v>63</v>
      </c>
      <c r="B72" s="43" t="s">
        <v>226</v>
      </c>
      <c r="C72" s="44"/>
      <c r="D72" s="22" t="s">
        <v>211</v>
      </c>
      <c r="E72" s="3" t="s">
        <v>197</v>
      </c>
      <c r="F72" s="3" t="s">
        <v>107</v>
      </c>
      <c r="G72" s="3"/>
      <c r="H72" s="3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>
        <f t="shared" si="0"/>
        <v>0</v>
      </c>
      <c r="X72" s="7"/>
      <c r="Y72" s="7"/>
      <c r="Z72" s="7"/>
      <c r="AA72" s="7"/>
      <c r="AB72" s="7"/>
      <c r="AC72" s="7"/>
      <c r="AD72" s="7"/>
    </row>
    <row r="73" spans="1:30" ht="20.100000000000001" customHeight="1">
      <c r="A73" s="7">
        <v>64</v>
      </c>
      <c r="B73" s="43" t="s">
        <v>227</v>
      </c>
      <c r="C73" s="44"/>
      <c r="D73" s="22" t="s">
        <v>212</v>
      </c>
      <c r="E73" s="3" t="s">
        <v>116</v>
      </c>
      <c r="F73" s="3" t="s">
        <v>107</v>
      </c>
      <c r="G73" s="3"/>
      <c r="H73" s="3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>
        <f t="shared" si="0"/>
        <v>0</v>
      </c>
      <c r="X73" s="7"/>
      <c r="Y73" s="7"/>
      <c r="Z73" s="7"/>
      <c r="AA73" s="7"/>
      <c r="AB73" s="7"/>
      <c r="AC73" s="7"/>
      <c r="AD73" s="7"/>
    </row>
    <row r="74" spans="1:30" ht="20.100000000000001" customHeight="1">
      <c r="A74" s="7">
        <v>65</v>
      </c>
      <c r="B74" s="43" t="s">
        <v>228</v>
      </c>
      <c r="C74" s="44"/>
      <c r="D74" s="22" t="s">
        <v>213</v>
      </c>
      <c r="E74" s="3" t="s">
        <v>198</v>
      </c>
      <c r="F74" s="3" t="s">
        <v>107</v>
      </c>
      <c r="G74" s="3"/>
      <c r="H74" s="3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>
        <f t="shared" si="0"/>
        <v>0</v>
      </c>
      <c r="X74" s="7"/>
      <c r="Y74" s="7"/>
      <c r="Z74" s="7"/>
      <c r="AA74" s="7"/>
      <c r="AB74" s="7"/>
      <c r="AC74" s="7"/>
      <c r="AD74" s="7"/>
    </row>
    <row r="75" spans="1:30" ht="20.100000000000001" customHeight="1">
      <c r="A75" s="7">
        <v>66</v>
      </c>
      <c r="B75" s="43" t="s">
        <v>229</v>
      </c>
      <c r="C75" s="44"/>
      <c r="D75" s="22" t="s">
        <v>214</v>
      </c>
      <c r="E75" s="3" t="s">
        <v>199</v>
      </c>
      <c r="F75" s="3" t="s">
        <v>107</v>
      </c>
      <c r="G75" s="3"/>
      <c r="H75" s="3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>
        <f t="shared" si="0"/>
        <v>0</v>
      </c>
      <c r="X75" s="7"/>
      <c r="Y75" s="7"/>
      <c r="Z75" s="7"/>
      <c r="AA75" s="7"/>
      <c r="AB75" s="7"/>
      <c r="AC75" s="7"/>
      <c r="AD75" s="7"/>
    </row>
    <row r="76" spans="1:30" ht="20.100000000000001" customHeight="1">
      <c r="A76" s="7">
        <v>67</v>
      </c>
      <c r="B76" s="43" t="s">
        <v>230</v>
      </c>
      <c r="C76" s="44"/>
      <c r="D76" s="22" t="s">
        <v>215</v>
      </c>
      <c r="E76" s="3" t="s">
        <v>200</v>
      </c>
      <c r="F76" s="3" t="s">
        <v>107</v>
      </c>
      <c r="G76" s="3"/>
      <c r="H76" s="3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>
        <f t="shared" si="0"/>
        <v>0</v>
      </c>
      <c r="X76" s="7"/>
      <c r="Y76" s="7"/>
      <c r="Z76" s="7"/>
      <c r="AA76" s="7"/>
      <c r="AB76" s="7"/>
      <c r="AC76" s="7"/>
      <c r="AD76" s="7"/>
    </row>
    <row r="77" spans="1:30" ht="20.100000000000001" customHeight="1">
      <c r="A77" s="7">
        <v>68</v>
      </c>
      <c r="B77" s="43" t="s">
        <v>262</v>
      </c>
      <c r="C77" s="44"/>
      <c r="D77" s="22" t="s">
        <v>296</v>
      </c>
      <c r="E77" s="3" t="s">
        <v>232</v>
      </c>
      <c r="F77" s="3" t="s">
        <v>231</v>
      </c>
      <c r="G77" s="3"/>
      <c r="H77" s="3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>
        <f t="shared" si="0"/>
        <v>0</v>
      </c>
      <c r="X77" s="7"/>
      <c r="Y77" s="7"/>
      <c r="Z77" s="7"/>
      <c r="AA77" s="7"/>
      <c r="AB77" s="7"/>
      <c r="AC77" s="7"/>
      <c r="AD77" s="7"/>
    </row>
    <row r="78" spans="1:30" ht="20.100000000000001" customHeight="1">
      <c r="A78" s="7">
        <v>69</v>
      </c>
      <c r="B78" s="43" t="s">
        <v>263</v>
      </c>
      <c r="C78" s="44"/>
      <c r="D78" s="22" t="s">
        <v>297</v>
      </c>
      <c r="E78" s="3" t="s">
        <v>233</v>
      </c>
      <c r="F78" s="3" t="s">
        <v>231</v>
      </c>
      <c r="G78" s="3"/>
      <c r="H78" s="3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>
        <f t="shared" si="0"/>
        <v>0</v>
      </c>
      <c r="X78" s="7"/>
      <c r="Y78" s="7"/>
      <c r="Z78" s="7"/>
      <c r="AA78" s="7"/>
      <c r="AB78" s="7"/>
      <c r="AC78" s="7"/>
      <c r="AD78" s="7"/>
    </row>
    <row r="79" spans="1:30" ht="20.100000000000001" customHeight="1">
      <c r="A79" s="7">
        <v>70</v>
      </c>
      <c r="B79" s="43" t="s">
        <v>264</v>
      </c>
      <c r="C79" s="44"/>
      <c r="D79" s="22" t="s">
        <v>298</v>
      </c>
      <c r="E79" s="3" t="s">
        <v>234</v>
      </c>
      <c r="F79" s="3" t="s">
        <v>231</v>
      </c>
      <c r="G79" s="3"/>
      <c r="H79" s="3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>
        <f t="shared" si="0"/>
        <v>0</v>
      </c>
      <c r="X79" s="7"/>
      <c r="Y79" s="7"/>
      <c r="Z79" s="7"/>
      <c r="AA79" s="7"/>
      <c r="AB79" s="7"/>
      <c r="AC79" s="7"/>
      <c r="AD79" s="7"/>
    </row>
    <row r="80" spans="1:30" ht="20.100000000000001" customHeight="1">
      <c r="A80" s="7">
        <v>71</v>
      </c>
      <c r="B80" s="43" t="s">
        <v>265</v>
      </c>
      <c r="C80" s="44"/>
      <c r="D80" s="22" t="s">
        <v>299</v>
      </c>
      <c r="E80" s="3" t="s">
        <v>235</v>
      </c>
      <c r="F80" s="3" t="s">
        <v>231</v>
      </c>
      <c r="G80" s="3"/>
      <c r="H80" s="3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>
        <f t="shared" si="0"/>
        <v>0</v>
      </c>
      <c r="X80" s="7"/>
      <c r="Y80" s="7"/>
      <c r="Z80" s="7"/>
      <c r="AA80" s="7"/>
      <c r="AB80" s="7"/>
      <c r="AC80" s="7"/>
      <c r="AD80" s="7"/>
    </row>
    <row r="81" spans="1:30" ht="20.100000000000001" customHeight="1">
      <c r="A81" s="7">
        <v>72</v>
      </c>
      <c r="B81" s="43" t="s">
        <v>266</v>
      </c>
      <c r="C81" s="44"/>
      <c r="D81" s="22" t="s">
        <v>300</v>
      </c>
      <c r="E81" s="3" t="s">
        <v>236</v>
      </c>
      <c r="F81" s="3" t="s">
        <v>231</v>
      </c>
      <c r="G81" s="3"/>
      <c r="H81" s="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f t="shared" si="0"/>
        <v>0</v>
      </c>
      <c r="X81" s="7"/>
      <c r="Y81" s="7"/>
      <c r="Z81" s="7"/>
      <c r="AA81" s="7"/>
      <c r="AB81" s="7"/>
      <c r="AC81" s="7"/>
      <c r="AD81" s="7"/>
    </row>
    <row r="82" spans="1:30" ht="20.100000000000001" customHeight="1">
      <c r="A82" s="7">
        <v>73</v>
      </c>
      <c r="B82" s="43" t="s">
        <v>267</v>
      </c>
      <c r="C82" s="44"/>
      <c r="D82" s="22" t="s">
        <v>301</v>
      </c>
      <c r="E82" s="3" t="s">
        <v>237</v>
      </c>
      <c r="F82" s="3" t="s">
        <v>231</v>
      </c>
      <c r="G82" s="3"/>
      <c r="H82" s="3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>
        <f t="shared" si="0"/>
        <v>0</v>
      </c>
      <c r="X82" s="7"/>
      <c r="Y82" s="7"/>
      <c r="Z82" s="7"/>
      <c r="AA82" s="7"/>
      <c r="AB82" s="7"/>
      <c r="AC82" s="7"/>
      <c r="AD82" s="7"/>
    </row>
    <row r="83" spans="1:30" ht="20.100000000000001" customHeight="1">
      <c r="A83" s="7">
        <v>74</v>
      </c>
      <c r="B83" s="43" t="s">
        <v>268</v>
      </c>
      <c r="C83" s="44"/>
      <c r="D83" s="22" t="s">
        <v>302</v>
      </c>
      <c r="E83" s="3" t="s">
        <v>238</v>
      </c>
      <c r="F83" s="3" t="s">
        <v>231</v>
      </c>
      <c r="G83" s="3"/>
      <c r="H83" s="3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>
        <f t="shared" si="0"/>
        <v>0</v>
      </c>
      <c r="X83" s="7"/>
      <c r="Y83" s="7"/>
      <c r="Z83" s="7"/>
      <c r="AA83" s="7"/>
      <c r="AB83" s="7"/>
      <c r="AC83" s="7"/>
      <c r="AD83" s="7"/>
    </row>
    <row r="84" spans="1:30" ht="20.100000000000001" customHeight="1">
      <c r="A84" s="7">
        <v>75</v>
      </c>
      <c r="B84" s="43" t="s">
        <v>269</v>
      </c>
      <c r="C84" s="44"/>
      <c r="D84" s="22" t="s">
        <v>303</v>
      </c>
      <c r="E84" s="3" t="s">
        <v>239</v>
      </c>
      <c r="F84" s="3" t="s">
        <v>231</v>
      </c>
      <c r="G84" s="3"/>
      <c r="H84" s="3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>
        <f t="shared" si="0"/>
        <v>0</v>
      </c>
      <c r="X84" s="7"/>
      <c r="Y84" s="7"/>
      <c r="Z84" s="7"/>
      <c r="AA84" s="7"/>
      <c r="AB84" s="7"/>
      <c r="AC84" s="7"/>
      <c r="AD84" s="7"/>
    </row>
    <row r="85" spans="1:30" ht="20.100000000000001" customHeight="1">
      <c r="A85" s="7">
        <v>76</v>
      </c>
      <c r="B85" s="43" t="s">
        <v>270</v>
      </c>
      <c r="C85" s="44"/>
      <c r="D85" s="22" t="s">
        <v>304</v>
      </c>
      <c r="E85" s="3" t="s">
        <v>240</v>
      </c>
      <c r="F85" s="3" t="s">
        <v>231</v>
      </c>
      <c r="G85" s="3"/>
      <c r="H85" s="3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>
        <f t="shared" si="0"/>
        <v>0</v>
      </c>
      <c r="X85" s="7"/>
      <c r="Y85" s="7"/>
      <c r="Z85" s="7"/>
      <c r="AA85" s="7"/>
      <c r="AB85" s="7"/>
      <c r="AC85" s="7"/>
      <c r="AD85" s="7"/>
    </row>
    <row r="86" spans="1:30" ht="20.100000000000001" customHeight="1">
      <c r="A86" s="7">
        <v>77</v>
      </c>
      <c r="B86" s="43" t="s">
        <v>271</v>
      </c>
      <c r="C86" s="44"/>
      <c r="D86" s="22" t="s">
        <v>305</v>
      </c>
      <c r="E86" s="3" t="s">
        <v>241</v>
      </c>
      <c r="F86" s="3" t="s">
        <v>231</v>
      </c>
      <c r="G86" s="3"/>
      <c r="H86" s="3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>
        <f t="shared" si="0"/>
        <v>0</v>
      </c>
      <c r="X86" s="7"/>
      <c r="Y86" s="7"/>
      <c r="Z86" s="7"/>
      <c r="AA86" s="7"/>
      <c r="AB86" s="7"/>
      <c r="AC86" s="7"/>
      <c r="AD86" s="7"/>
    </row>
    <row r="87" spans="1:30" ht="20.100000000000001" customHeight="1">
      <c r="A87" s="7">
        <v>78</v>
      </c>
      <c r="B87" s="43" t="s">
        <v>272</v>
      </c>
      <c r="C87" s="44"/>
      <c r="D87" s="22" t="s">
        <v>306</v>
      </c>
      <c r="E87" s="3" t="s">
        <v>243</v>
      </c>
      <c r="F87" s="3" t="s">
        <v>231</v>
      </c>
      <c r="G87" s="3"/>
      <c r="H87" s="3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>
        <f t="shared" si="0"/>
        <v>0</v>
      </c>
      <c r="X87" s="7"/>
      <c r="Y87" s="7"/>
      <c r="Z87" s="7"/>
      <c r="AA87" s="7"/>
      <c r="AB87" s="7"/>
      <c r="AC87" s="7"/>
      <c r="AD87" s="7"/>
    </row>
    <row r="88" spans="1:30" ht="20.100000000000001" customHeight="1">
      <c r="A88" s="7">
        <v>79</v>
      </c>
      <c r="B88" s="23"/>
      <c r="C88" s="26" t="s">
        <v>273</v>
      </c>
      <c r="D88" s="22" t="s">
        <v>307</v>
      </c>
      <c r="E88" s="3" t="s">
        <v>242</v>
      </c>
      <c r="F88" s="3" t="s">
        <v>231</v>
      </c>
      <c r="G88" s="3"/>
      <c r="H88" s="3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>
        <f t="shared" si="0"/>
        <v>0</v>
      </c>
      <c r="X88" s="7"/>
      <c r="Y88" s="7"/>
      <c r="Z88" s="7"/>
      <c r="AA88" s="7"/>
      <c r="AB88" s="7"/>
      <c r="AC88" s="7"/>
      <c r="AD88" s="7"/>
    </row>
    <row r="89" spans="1:30" ht="20.100000000000001" customHeight="1">
      <c r="A89" s="7">
        <v>80</v>
      </c>
      <c r="B89" s="24"/>
      <c r="C89" s="27" t="s">
        <v>274</v>
      </c>
      <c r="D89" s="22" t="s">
        <v>308</v>
      </c>
      <c r="E89" s="3" t="s">
        <v>244</v>
      </c>
      <c r="F89" s="3" t="s">
        <v>231</v>
      </c>
      <c r="G89" s="3"/>
      <c r="H89" s="3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>
        <f t="shared" si="0"/>
        <v>0</v>
      </c>
      <c r="X89" s="7"/>
      <c r="Y89" s="7"/>
      <c r="Z89" s="7"/>
      <c r="AA89" s="7"/>
      <c r="AB89" s="7"/>
      <c r="AC89" s="7"/>
      <c r="AD89" s="7"/>
    </row>
    <row r="90" spans="1:30" ht="20.100000000000001" customHeight="1">
      <c r="A90" s="7">
        <v>81</v>
      </c>
      <c r="B90" s="24"/>
      <c r="C90" s="27" t="s">
        <v>275</v>
      </c>
      <c r="D90" s="22" t="s">
        <v>309</v>
      </c>
      <c r="E90" s="3" t="s">
        <v>245</v>
      </c>
      <c r="F90" s="3" t="s">
        <v>231</v>
      </c>
      <c r="G90" s="3"/>
      <c r="H90" s="3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>
        <f t="shared" si="0"/>
        <v>0</v>
      </c>
      <c r="X90" s="7"/>
      <c r="Y90" s="7"/>
      <c r="Z90" s="7"/>
      <c r="AA90" s="7"/>
      <c r="AB90" s="7"/>
      <c r="AC90" s="7"/>
      <c r="AD90" s="7"/>
    </row>
    <row r="91" spans="1:30" ht="20.100000000000001" customHeight="1">
      <c r="A91" s="7">
        <v>82</v>
      </c>
      <c r="B91" s="24"/>
      <c r="C91" s="27" t="s">
        <v>276</v>
      </c>
      <c r="D91" s="22" t="s">
        <v>310</v>
      </c>
      <c r="E91" s="3" t="s">
        <v>246</v>
      </c>
      <c r="F91" s="3" t="s">
        <v>231</v>
      </c>
      <c r="G91" s="3"/>
      <c r="H91" s="3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>
        <f t="shared" si="0"/>
        <v>0</v>
      </c>
      <c r="X91" s="7"/>
      <c r="Y91" s="7"/>
      <c r="Z91" s="7"/>
      <c r="AA91" s="7"/>
      <c r="AB91" s="7"/>
      <c r="AC91" s="7"/>
      <c r="AD91" s="7"/>
    </row>
    <row r="92" spans="1:30" ht="20.100000000000001" customHeight="1">
      <c r="A92" s="7">
        <v>83</v>
      </c>
      <c r="B92" s="24"/>
      <c r="C92" s="27" t="s">
        <v>277</v>
      </c>
      <c r="D92" s="22" t="s">
        <v>311</v>
      </c>
      <c r="E92" s="3" t="s">
        <v>247</v>
      </c>
      <c r="F92" s="3" t="s">
        <v>231</v>
      </c>
      <c r="G92" s="3"/>
      <c r="H92" s="3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>
        <f t="shared" si="0"/>
        <v>0</v>
      </c>
      <c r="X92" s="7"/>
      <c r="Y92" s="7"/>
      <c r="Z92" s="7"/>
      <c r="AA92" s="7"/>
      <c r="AB92" s="7"/>
      <c r="AC92" s="7"/>
      <c r="AD92" s="7"/>
    </row>
    <row r="93" spans="1:30" ht="20.100000000000001" customHeight="1">
      <c r="A93" s="7">
        <v>84</v>
      </c>
      <c r="B93" s="24"/>
      <c r="C93" s="27" t="s">
        <v>278</v>
      </c>
      <c r="D93" s="22" t="s">
        <v>312</v>
      </c>
      <c r="E93" s="3" t="s">
        <v>248</v>
      </c>
      <c r="F93" s="3" t="s">
        <v>231</v>
      </c>
      <c r="G93" s="3"/>
      <c r="H93" s="3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>
        <f t="shared" si="0"/>
        <v>0</v>
      </c>
      <c r="X93" s="7"/>
      <c r="Y93" s="7"/>
      <c r="Z93" s="7"/>
      <c r="AA93" s="7"/>
      <c r="AB93" s="7"/>
      <c r="AC93" s="7"/>
      <c r="AD93" s="7"/>
    </row>
    <row r="94" spans="1:30" ht="20.100000000000001" customHeight="1">
      <c r="A94" s="7">
        <v>85</v>
      </c>
      <c r="B94" s="24"/>
      <c r="C94" s="27" t="s">
        <v>279</v>
      </c>
      <c r="D94" s="22" t="s">
        <v>313</v>
      </c>
      <c r="E94" s="3" t="s">
        <v>249</v>
      </c>
      <c r="F94" s="3" t="s">
        <v>231</v>
      </c>
      <c r="G94" s="3"/>
      <c r="H94" s="3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>
        <f t="shared" si="0"/>
        <v>0</v>
      </c>
      <c r="X94" s="7"/>
      <c r="Y94" s="7"/>
      <c r="Z94" s="7"/>
      <c r="AA94" s="7"/>
      <c r="AB94" s="7"/>
      <c r="AC94" s="7"/>
      <c r="AD94" s="7"/>
    </row>
    <row r="95" spans="1:30" ht="20.100000000000001" customHeight="1">
      <c r="A95" s="7">
        <v>86</v>
      </c>
      <c r="B95" s="24"/>
      <c r="C95" s="27" t="s">
        <v>280</v>
      </c>
      <c r="D95" s="22" t="s">
        <v>314</v>
      </c>
      <c r="E95" s="3" t="s">
        <v>250</v>
      </c>
      <c r="F95" s="3" t="s">
        <v>231</v>
      </c>
      <c r="G95" s="3"/>
      <c r="H95" s="3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>
        <f t="shared" si="0"/>
        <v>0</v>
      </c>
      <c r="X95" s="7"/>
      <c r="Y95" s="7"/>
      <c r="Z95" s="7"/>
      <c r="AA95" s="7"/>
      <c r="AB95" s="7"/>
      <c r="AC95" s="7"/>
      <c r="AD95" s="7"/>
    </row>
    <row r="96" spans="1:30" ht="20.100000000000001" customHeight="1">
      <c r="A96" s="7">
        <v>87</v>
      </c>
      <c r="B96" s="43" t="s">
        <v>281</v>
      </c>
      <c r="C96" s="44"/>
      <c r="D96" s="22" t="s">
        <v>315</v>
      </c>
      <c r="E96" s="3" t="s">
        <v>251</v>
      </c>
      <c r="F96" s="3" t="s">
        <v>231</v>
      </c>
      <c r="G96" s="3"/>
      <c r="H96" s="3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>
        <f t="shared" si="0"/>
        <v>0</v>
      </c>
      <c r="X96" s="7"/>
      <c r="Y96" s="7"/>
      <c r="Z96" s="7"/>
      <c r="AA96" s="7"/>
      <c r="AB96" s="7"/>
      <c r="AC96" s="7"/>
      <c r="AD96" s="7"/>
    </row>
    <row r="97" spans="1:30" ht="20.100000000000001" customHeight="1">
      <c r="A97" s="7">
        <v>88</v>
      </c>
      <c r="B97" s="43" t="s">
        <v>282</v>
      </c>
      <c r="C97" s="44"/>
      <c r="D97" s="22" t="s">
        <v>316</v>
      </c>
      <c r="E97" s="3" t="s">
        <v>252</v>
      </c>
      <c r="F97" s="3" t="s">
        <v>231</v>
      </c>
      <c r="G97" s="3"/>
      <c r="H97" s="3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>
        <f t="shared" si="0"/>
        <v>0</v>
      </c>
      <c r="X97" s="7"/>
      <c r="Y97" s="7"/>
      <c r="Z97" s="7"/>
      <c r="AA97" s="7"/>
      <c r="AB97" s="7"/>
      <c r="AC97" s="7"/>
      <c r="AD97" s="7"/>
    </row>
    <row r="98" spans="1:30" ht="20.100000000000001" customHeight="1">
      <c r="A98" s="7">
        <v>89</v>
      </c>
      <c r="B98" s="43" t="s">
        <v>283</v>
      </c>
      <c r="C98" s="44"/>
      <c r="D98" s="22" t="s">
        <v>317</v>
      </c>
      <c r="E98" s="3" t="s">
        <v>253</v>
      </c>
      <c r="F98" s="3" t="s">
        <v>231</v>
      </c>
      <c r="G98" s="3"/>
      <c r="H98" s="3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>
        <f t="shared" ref="W98:W173" si="1">COUNTIF(I98:V98,"V")</f>
        <v>0</v>
      </c>
      <c r="X98" s="7"/>
      <c r="Y98" s="7"/>
      <c r="Z98" s="7"/>
      <c r="AA98" s="7"/>
      <c r="AB98" s="7"/>
      <c r="AC98" s="7"/>
      <c r="AD98" s="7"/>
    </row>
    <row r="99" spans="1:30" ht="20.100000000000001" customHeight="1">
      <c r="A99" s="7">
        <v>90</v>
      </c>
      <c r="B99" s="43" t="s">
        <v>284</v>
      </c>
      <c r="C99" s="44"/>
      <c r="D99" s="22" t="s">
        <v>318</v>
      </c>
      <c r="E99" s="3" t="s">
        <v>254</v>
      </c>
      <c r="F99" s="3" t="s">
        <v>231</v>
      </c>
      <c r="G99" s="3"/>
      <c r="H99" s="3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>
        <f t="shared" si="1"/>
        <v>0</v>
      </c>
      <c r="X99" s="7"/>
      <c r="Y99" s="7"/>
      <c r="Z99" s="7"/>
      <c r="AA99" s="7"/>
      <c r="AB99" s="7"/>
      <c r="AC99" s="7"/>
      <c r="AD99" s="7"/>
    </row>
    <row r="100" spans="1:30" ht="20.100000000000001" customHeight="1">
      <c r="A100" s="7">
        <v>91</v>
      </c>
      <c r="B100" s="43" t="s">
        <v>285</v>
      </c>
      <c r="C100" s="44"/>
      <c r="D100" s="22" t="s">
        <v>319</v>
      </c>
      <c r="E100" s="3" t="s">
        <v>255</v>
      </c>
      <c r="F100" s="3" t="s">
        <v>231</v>
      </c>
      <c r="G100" s="3"/>
      <c r="H100" s="3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>
        <f t="shared" si="1"/>
        <v>0</v>
      </c>
      <c r="X100" s="7"/>
      <c r="Y100" s="7"/>
      <c r="Z100" s="7"/>
      <c r="AA100" s="7"/>
      <c r="AB100" s="7"/>
      <c r="AC100" s="7"/>
      <c r="AD100" s="7"/>
    </row>
    <row r="101" spans="1:30" ht="20.100000000000001" customHeight="1">
      <c r="A101" s="7">
        <v>92</v>
      </c>
      <c r="B101" s="43" t="s">
        <v>286</v>
      </c>
      <c r="C101" s="44"/>
      <c r="D101" s="22" t="s">
        <v>320</v>
      </c>
      <c r="E101" s="3" t="s">
        <v>256</v>
      </c>
      <c r="F101" s="3" t="s">
        <v>231</v>
      </c>
      <c r="G101" s="3"/>
      <c r="H101" s="3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>
        <f t="shared" si="1"/>
        <v>0</v>
      </c>
      <c r="X101" s="7"/>
      <c r="Y101" s="7"/>
      <c r="Z101" s="7"/>
      <c r="AA101" s="7"/>
      <c r="AB101" s="7"/>
      <c r="AC101" s="7"/>
      <c r="AD101" s="7"/>
    </row>
    <row r="102" spans="1:30" ht="20.100000000000001" customHeight="1">
      <c r="A102" s="7">
        <v>93</v>
      </c>
      <c r="B102" s="43" t="s">
        <v>287</v>
      </c>
      <c r="C102" s="44"/>
      <c r="D102" s="22" t="s">
        <v>321</v>
      </c>
      <c r="E102" s="3" t="s">
        <v>257</v>
      </c>
      <c r="F102" s="3" t="s">
        <v>231</v>
      </c>
      <c r="G102" s="3"/>
      <c r="H102" s="3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>
        <f t="shared" si="1"/>
        <v>0</v>
      </c>
      <c r="X102" s="7"/>
      <c r="Y102" s="7"/>
      <c r="Z102" s="7"/>
      <c r="AA102" s="7"/>
      <c r="AB102" s="7"/>
      <c r="AC102" s="7"/>
      <c r="AD102" s="7"/>
    </row>
    <row r="103" spans="1:30" ht="20.100000000000001" customHeight="1">
      <c r="A103" s="7">
        <v>94</v>
      </c>
      <c r="B103" s="24"/>
      <c r="C103" s="27" t="s">
        <v>288</v>
      </c>
      <c r="D103" s="22" t="s">
        <v>322</v>
      </c>
      <c r="E103" s="3" t="s">
        <v>258</v>
      </c>
      <c r="F103" s="3" t="s">
        <v>231</v>
      </c>
      <c r="G103" s="3"/>
      <c r="H103" s="3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>
        <f t="shared" si="1"/>
        <v>0</v>
      </c>
      <c r="X103" s="7"/>
      <c r="Y103" s="7"/>
      <c r="Z103" s="7"/>
      <c r="AA103" s="7"/>
      <c r="AB103" s="7"/>
      <c r="AC103" s="7"/>
      <c r="AD103" s="7"/>
    </row>
    <row r="104" spans="1:30" ht="20.100000000000001" customHeight="1">
      <c r="A104" s="7">
        <v>95</v>
      </c>
      <c r="B104" s="24"/>
      <c r="C104" s="27" t="s">
        <v>289</v>
      </c>
      <c r="D104" s="22" t="s">
        <v>323</v>
      </c>
      <c r="E104" s="3" t="s">
        <v>259</v>
      </c>
      <c r="F104" s="3" t="s">
        <v>231</v>
      </c>
      <c r="G104" s="3"/>
      <c r="H104" s="3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>
        <f t="shared" si="1"/>
        <v>0</v>
      </c>
      <c r="X104" s="7"/>
      <c r="Y104" s="7"/>
      <c r="Z104" s="7"/>
      <c r="AA104" s="7"/>
      <c r="AB104" s="7"/>
      <c r="AC104" s="7"/>
      <c r="AD104" s="7"/>
    </row>
    <row r="105" spans="1:30" ht="20.100000000000001" customHeight="1">
      <c r="A105" s="7">
        <v>96</v>
      </c>
      <c r="B105" s="24"/>
      <c r="C105" s="27" t="s">
        <v>290</v>
      </c>
      <c r="D105" s="22" t="s">
        <v>324</v>
      </c>
      <c r="E105" s="3" t="s">
        <v>260</v>
      </c>
      <c r="F105" s="3" t="s">
        <v>231</v>
      </c>
      <c r="G105" s="3"/>
      <c r="H105" s="3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>
        <f t="shared" si="1"/>
        <v>0</v>
      </c>
      <c r="X105" s="7"/>
      <c r="Y105" s="7"/>
      <c r="Z105" s="7"/>
      <c r="AA105" s="7"/>
      <c r="AB105" s="7"/>
      <c r="AC105" s="7"/>
      <c r="AD105" s="7"/>
    </row>
    <row r="106" spans="1:30" ht="20.100000000000001" customHeight="1">
      <c r="A106" s="7">
        <v>97</v>
      </c>
      <c r="B106" s="24"/>
      <c r="C106" s="27" t="s">
        <v>291</v>
      </c>
      <c r="D106" s="22" t="s">
        <v>325</v>
      </c>
      <c r="E106" s="3" t="s">
        <v>261</v>
      </c>
      <c r="F106" s="3" t="s">
        <v>231</v>
      </c>
      <c r="G106" s="3"/>
      <c r="H106" s="3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>
        <f t="shared" si="1"/>
        <v>0</v>
      </c>
      <c r="X106" s="7"/>
      <c r="Y106" s="7"/>
      <c r="Z106" s="7"/>
      <c r="AA106" s="7"/>
      <c r="AB106" s="7"/>
      <c r="AC106" s="7"/>
      <c r="AD106" s="7"/>
    </row>
    <row r="107" spans="1:30" ht="20.100000000000001" customHeight="1">
      <c r="A107" s="7">
        <v>99</v>
      </c>
      <c r="B107" s="24"/>
      <c r="C107" s="27" t="s">
        <v>294</v>
      </c>
      <c r="D107" s="22" t="s">
        <v>326</v>
      </c>
      <c r="E107" s="3" t="s">
        <v>292</v>
      </c>
      <c r="F107" s="3" t="s">
        <v>231</v>
      </c>
      <c r="G107" s="3"/>
      <c r="H107" s="3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>
        <f t="shared" si="1"/>
        <v>0</v>
      </c>
      <c r="X107" s="7"/>
      <c r="Y107" s="7"/>
      <c r="Z107" s="7"/>
      <c r="AA107" s="7"/>
      <c r="AB107" s="7"/>
      <c r="AC107" s="7"/>
      <c r="AD107" s="7"/>
    </row>
    <row r="108" spans="1:30" ht="20.100000000000001" customHeight="1">
      <c r="A108" s="7">
        <v>100</v>
      </c>
      <c r="B108" s="24"/>
      <c r="C108" s="27" t="s">
        <v>295</v>
      </c>
      <c r="D108" s="22" t="s">
        <v>327</v>
      </c>
      <c r="E108" s="3" t="s">
        <v>293</v>
      </c>
      <c r="F108" s="3" t="s">
        <v>231</v>
      </c>
      <c r="G108" s="3"/>
      <c r="H108" s="3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>
        <f t="shared" si="1"/>
        <v>0</v>
      </c>
      <c r="X108" s="7"/>
      <c r="Y108" s="7"/>
      <c r="Z108" s="7"/>
      <c r="AA108" s="7"/>
      <c r="AB108" s="7"/>
      <c r="AC108" s="7"/>
      <c r="AD108" s="7"/>
    </row>
    <row r="109" spans="1:30" ht="20.100000000000001" customHeight="1">
      <c r="A109" s="7">
        <v>101</v>
      </c>
      <c r="B109" s="24"/>
      <c r="C109" s="27" t="s">
        <v>333</v>
      </c>
      <c r="D109" s="22" t="s">
        <v>334</v>
      </c>
      <c r="E109" s="3" t="s">
        <v>332</v>
      </c>
      <c r="F109" s="3" t="s">
        <v>331</v>
      </c>
      <c r="G109" s="3"/>
      <c r="H109" s="3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>
        <f t="shared" si="1"/>
        <v>0</v>
      </c>
      <c r="X109" s="7"/>
      <c r="Y109" s="7"/>
      <c r="Z109" s="7"/>
      <c r="AA109" s="7"/>
      <c r="AB109" s="7"/>
      <c r="AC109" s="7"/>
      <c r="AD109" s="7"/>
    </row>
    <row r="110" spans="1:30" ht="20.100000000000001" customHeight="1">
      <c r="A110" s="7">
        <v>102</v>
      </c>
      <c r="B110" s="24"/>
      <c r="C110" s="27" t="s">
        <v>335</v>
      </c>
      <c r="D110" s="22" t="s">
        <v>336</v>
      </c>
      <c r="E110" s="3" t="s">
        <v>337</v>
      </c>
      <c r="F110" s="3" t="s">
        <v>331</v>
      </c>
      <c r="G110" s="3"/>
      <c r="H110" s="3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>
        <f t="shared" si="1"/>
        <v>0</v>
      </c>
      <c r="X110" s="7"/>
      <c r="Y110" s="7"/>
      <c r="Z110" s="7"/>
      <c r="AA110" s="7"/>
      <c r="AB110" s="7"/>
      <c r="AC110" s="7"/>
      <c r="AD110" s="7"/>
    </row>
    <row r="111" spans="1:30" ht="20.100000000000001" customHeight="1">
      <c r="A111" s="7">
        <v>103</v>
      </c>
      <c r="B111" s="24"/>
      <c r="C111" s="27" t="s">
        <v>338</v>
      </c>
      <c r="D111" s="22" t="s">
        <v>339</v>
      </c>
      <c r="E111" s="3" t="s">
        <v>340</v>
      </c>
      <c r="F111" s="3" t="s">
        <v>331</v>
      </c>
      <c r="G111" s="3"/>
      <c r="H111" s="3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>
        <f t="shared" si="1"/>
        <v>0</v>
      </c>
      <c r="X111" s="7"/>
      <c r="Y111" s="7"/>
      <c r="Z111" s="7"/>
      <c r="AA111" s="7"/>
      <c r="AB111" s="7"/>
      <c r="AC111" s="7"/>
      <c r="AD111" s="7"/>
    </row>
    <row r="112" spans="1:30" ht="20.100000000000001" customHeight="1">
      <c r="A112" s="7">
        <v>104</v>
      </c>
      <c r="B112" s="24"/>
      <c r="C112" s="27" t="s">
        <v>341</v>
      </c>
      <c r="D112" s="22" t="s">
        <v>342</v>
      </c>
      <c r="E112" s="3" t="s">
        <v>343</v>
      </c>
      <c r="F112" s="3" t="s">
        <v>331</v>
      </c>
      <c r="G112" s="3"/>
      <c r="H112" s="3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>
        <f t="shared" si="1"/>
        <v>0</v>
      </c>
      <c r="X112" s="7"/>
      <c r="Y112" s="7"/>
      <c r="Z112" s="7"/>
      <c r="AA112" s="7"/>
      <c r="AB112" s="7"/>
      <c r="AC112" s="7"/>
      <c r="AD112" s="7"/>
    </row>
    <row r="113" spans="1:30" ht="20.100000000000001" customHeight="1">
      <c r="A113" s="7">
        <v>105</v>
      </c>
      <c r="B113" s="24"/>
      <c r="C113" s="27" t="s">
        <v>344</v>
      </c>
      <c r="D113" s="22" t="s">
        <v>345</v>
      </c>
      <c r="E113" s="3" t="s">
        <v>346</v>
      </c>
      <c r="F113" s="3" t="s">
        <v>331</v>
      </c>
      <c r="G113" s="3"/>
      <c r="H113" s="3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>
        <f t="shared" si="1"/>
        <v>0</v>
      </c>
      <c r="X113" s="7"/>
      <c r="Y113" s="7"/>
      <c r="Z113" s="7"/>
      <c r="AA113" s="7"/>
      <c r="AB113" s="7"/>
      <c r="AC113" s="7"/>
      <c r="AD113" s="7"/>
    </row>
    <row r="114" spans="1:30" ht="20.100000000000001" customHeight="1">
      <c r="A114" s="7">
        <v>106</v>
      </c>
      <c r="B114" s="24"/>
      <c r="C114" s="27" t="s">
        <v>347</v>
      </c>
      <c r="D114" s="22" t="s">
        <v>348</v>
      </c>
      <c r="E114" s="3" t="s">
        <v>349</v>
      </c>
      <c r="F114" s="3" t="s">
        <v>331</v>
      </c>
      <c r="G114" s="3"/>
      <c r="H114" s="3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>
        <f t="shared" si="1"/>
        <v>0</v>
      </c>
      <c r="X114" s="7"/>
      <c r="Y114" s="7"/>
      <c r="Z114" s="7"/>
      <c r="AA114" s="7"/>
      <c r="AB114" s="7"/>
      <c r="AC114" s="7"/>
      <c r="AD114" s="7"/>
    </row>
    <row r="115" spans="1:30" ht="20.100000000000001" customHeight="1">
      <c r="A115" s="7">
        <v>107</v>
      </c>
      <c r="B115" s="24"/>
      <c r="C115" s="27" t="s">
        <v>501</v>
      </c>
      <c r="D115" s="22" t="s">
        <v>500</v>
      </c>
      <c r="E115" s="3" t="s">
        <v>499</v>
      </c>
      <c r="F115" s="3" t="s">
        <v>331</v>
      </c>
      <c r="G115" s="3"/>
      <c r="H115" s="3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>
        <f t="shared" si="1"/>
        <v>0</v>
      </c>
      <c r="X115" s="7"/>
      <c r="Y115" s="7"/>
      <c r="Z115" s="7"/>
      <c r="AA115" s="7"/>
      <c r="AB115" s="7"/>
      <c r="AC115" s="7"/>
      <c r="AD115" s="7"/>
    </row>
    <row r="116" spans="1:30" ht="20.100000000000001" customHeight="1">
      <c r="A116" s="7">
        <v>108</v>
      </c>
      <c r="B116" s="24"/>
      <c r="C116" s="27" t="s">
        <v>350</v>
      </c>
      <c r="D116" s="22" t="s">
        <v>351</v>
      </c>
      <c r="E116" s="3" t="s">
        <v>352</v>
      </c>
      <c r="F116" s="3" t="s">
        <v>331</v>
      </c>
      <c r="G116" s="3"/>
      <c r="H116" s="3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>
        <f t="shared" si="1"/>
        <v>0</v>
      </c>
      <c r="X116" s="7"/>
      <c r="Y116" s="7"/>
      <c r="Z116" s="7"/>
      <c r="AA116" s="7"/>
      <c r="AB116" s="7"/>
      <c r="AC116" s="7"/>
      <c r="AD116" s="7"/>
    </row>
    <row r="117" spans="1:30" ht="20.100000000000001" customHeight="1">
      <c r="A117" s="7">
        <v>109</v>
      </c>
      <c r="B117" s="24"/>
      <c r="C117" s="27" t="s">
        <v>353</v>
      </c>
      <c r="D117" s="22" t="s">
        <v>354</v>
      </c>
      <c r="E117" s="3" t="s">
        <v>136</v>
      </c>
      <c r="F117" s="3" t="s">
        <v>331</v>
      </c>
      <c r="G117" s="3"/>
      <c r="H117" s="3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>
        <f t="shared" si="1"/>
        <v>0</v>
      </c>
      <c r="X117" s="7"/>
      <c r="Y117" s="7"/>
      <c r="Z117" s="7"/>
      <c r="AA117" s="7"/>
      <c r="AB117" s="7"/>
      <c r="AC117" s="7"/>
      <c r="AD117" s="7"/>
    </row>
    <row r="118" spans="1:30" ht="20.100000000000001" customHeight="1">
      <c r="A118" s="7">
        <v>110</v>
      </c>
      <c r="B118" s="24"/>
      <c r="C118" s="27" t="s">
        <v>356</v>
      </c>
      <c r="D118" s="22" t="s">
        <v>357</v>
      </c>
      <c r="E118" s="3" t="s">
        <v>355</v>
      </c>
      <c r="F118" s="3" t="s">
        <v>331</v>
      </c>
      <c r="G118" s="3"/>
      <c r="H118" s="3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>
        <f t="shared" si="1"/>
        <v>0</v>
      </c>
      <c r="X118" s="7"/>
      <c r="Y118" s="7"/>
      <c r="Z118" s="7"/>
      <c r="AA118" s="7"/>
      <c r="AB118" s="7"/>
      <c r="AC118" s="7"/>
      <c r="AD118" s="7"/>
    </row>
    <row r="119" spans="1:30" ht="20.100000000000001" customHeight="1">
      <c r="A119" s="7">
        <v>111</v>
      </c>
      <c r="B119" s="43" t="s">
        <v>358</v>
      </c>
      <c r="C119" s="44"/>
      <c r="D119" s="22" t="s">
        <v>359</v>
      </c>
      <c r="E119" s="3" t="s">
        <v>360</v>
      </c>
      <c r="F119" s="3" t="s">
        <v>331</v>
      </c>
      <c r="G119" s="3"/>
      <c r="H119" s="3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>
        <f t="shared" si="1"/>
        <v>0</v>
      </c>
      <c r="X119" s="7"/>
      <c r="Y119" s="7"/>
      <c r="Z119" s="7"/>
      <c r="AA119" s="7"/>
      <c r="AB119" s="7"/>
      <c r="AC119" s="7"/>
      <c r="AD119" s="7"/>
    </row>
    <row r="120" spans="1:30" ht="20.100000000000001" customHeight="1">
      <c r="A120" s="7">
        <v>112</v>
      </c>
      <c r="B120" s="43" t="s">
        <v>362</v>
      </c>
      <c r="C120" s="44"/>
      <c r="D120" s="22" t="s">
        <v>363</v>
      </c>
      <c r="E120" s="3" t="s">
        <v>361</v>
      </c>
      <c r="F120" s="3" t="s">
        <v>331</v>
      </c>
      <c r="G120" s="3"/>
      <c r="H120" s="3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>
        <f t="shared" si="1"/>
        <v>0</v>
      </c>
      <c r="X120" s="7"/>
      <c r="Y120" s="7"/>
      <c r="Z120" s="7"/>
      <c r="AA120" s="7"/>
      <c r="AB120" s="7"/>
      <c r="AC120" s="7"/>
      <c r="AD120" s="7"/>
    </row>
    <row r="121" spans="1:30" ht="20.100000000000001" customHeight="1">
      <c r="A121" s="7">
        <v>113</v>
      </c>
      <c r="B121" s="43" t="s">
        <v>364</v>
      </c>
      <c r="C121" s="44"/>
      <c r="D121" s="22" t="s">
        <v>365</v>
      </c>
      <c r="E121" s="3" t="s">
        <v>366</v>
      </c>
      <c r="F121" s="3" t="s">
        <v>331</v>
      </c>
      <c r="G121" s="3"/>
      <c r="H121" s="3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>
        <f t="shared" si="1"/>
        <v>0</v>
      </c>
      <c r="X121" s="7"/>
      <c r="Y121" s="7"/>
      <c r="Z121" s="7"/>
      <c r="AA121" s="7"/>
      <c r="AB121" s="7"/>
      <c r="AC121" s="7"/>
      <c r="AD121" s="7"/>
    </row>
    <row r="122" spans="1:30" ht="20.100000000000001" customHeight="1">
      <c r="A122" s="7">
        <v>114</v>
      </c>
      <c r="B122" s="25"/>
      <c r="C122" s="27" t="s">
        <v>368</v>
      </c>
      <c r="D122" s="22" t="s">
        <v>369</v>
      </c>
      <c r="E122" s="3" t="s">
        <v>367</v>
      </c>
      <c r="F122" s="3" t="s">
        <v>331</v>
      </c>
      <c r="G122" s="3"/>
      <c r="H122" s="3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>
        <f t="shared" si="1"/>
        <v>0</v>
      </c>
      <c r="X122" s="7"/>
      <c r="Y122" s="7"/>
      <c r="Z122" s="7"/>
      <c r="AA122" s="7"/>
      <c r="AB122" s="7"/>
      <c r="AC122" s="7"/>
      <c r="AD122" s="7"/>
    </row>
    <row r="123" spans="1:30" ht="20.100000000000001" customHeight="1">
      <c r="A123" s="7">
        <v>115</v>
      </c>
      <c r="B123" s="25"/>
      <c r="C123" s="27" t="s">
        <v>370</v>
      </c>
      <c r="D123" s="22" t="s">
        <v>371</v>
      </c>
      <c r="E123" s="3" t="s">
        <v>372</v>
      </c>
      <c r="F123" s="3" t="s">
        <v>331</v>
      </c>
      <c r="G123" s="3"/>
      <c r="H123" s="3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>
        <f t="shared" si="1"/>
        <v>0</v>
      </c>
      <c r="X123" s="7"/>
      <c r="Y123" s="7"/>
      <c r="Z123" s="7"/>
      <c r="AA123" s="7"/>
      <c r="AB123" s="7"/>
      <c r="AC123" s="7"/>
      <c r="AD123" s="7"/>
    </row>
    <row r="124" spans="1:30" ht="20.100000000000001" customHeight="1">
      <c r="A124" s="7">
        <v>116</v>
      </c>
      <c r="B124" s="25"/>
      <c r="C124" s="27" t="s">
        <v>373</v>
      </c>
      <c r="D124" s="22" t="s">
        <v>374</v>
      </c>
      <c r="E124" s="3" t="s">
        <v>375</v>
      </c>
      <c r="F124" s="3" t="s">
        <v>331</v>
      </c>
      <c r="G124" s="3"/>
      <c r="H124" s="3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>
        <f t="shared" si="1"/>
        <v>0</v>
      </c>
      <c r="X124" s="7"/>
      <c r="Y124" s="7"/>
      <c r="Z124" s="7"/>
      <c r="AA124" s="7"/>
      <c r="AB124" s="7"/>
      <c r="AC124" s="7"/>
      <c r="AD124" s="7"/>
    </row>
    <row r="125" spans="1:30" ht="20.100000000000001" customHeight="1">
      <c r="A125" s="7">
        <v>117</v>
      </c>
      <c r="B125" s="25"/>
      <c r="C125" s="27" t="s">
        <v>504</v>
      </c>
      <c r="D125" s="22" t="s">
        <v>503</v>
      </c>
      <c r="E125" s="3" t="s">
        <v>502</v>
      </c>
      <c r="F125" s="3" t="s">
        <v>331</v>
      </c>
      <c r="G125" s="3"/>
      <c r="H125" s="3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>
        <f t="shared" si="1"/>
        <v>0</v>
      </c>
      <c r="X125" s="7"/>
      <c r="Y125" s="7"/>
      <c r="Z125" s="7"/>
      <c r="AA125" s="7"/>
      <c r="AB125" s="7"/>
      <c r="AC125" s="7"/>
      <c r="AD125" s="7"/>
    </row>
    <row r="126" spans="1:30" ht="20.100000000000001" customHeight="1">
      <c r="A126" s="7">
        <v>118</v>
      </c>
      <c r="B126" s="25"/>
      <c r="C126" s="27" t="s">
        <v>376</v>
      </c>
      <c r="D126" s="22" t="s">
        <v>377</v>
      </c>
      <c r="E126" s="3" t="s">
        <v>378</v>
      </c>
      <c r="F126" s="3" t="s">
        <v>331</v>
      </c>
      <c r="G126" s="3"/>
      <c r="H126" s="3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>
        <f t="shared" si="1"/>
        <v>0</v>
      </c>
      <c r="X126" s="7"/>
      <c r="Y126" s="7"/>
      <c r="Z126" s="7"/>
      <c r="AA126" s="7"/>
      <c r="AB126" s="7"/>
      <c r="AC126" s="7"/>
      <c r="AD126" s="7"/>
    </row>
    <row r="127" spans="1:30" ht="20.100000000000001" customHeight="1">
      <c r="A127" s="7">
        <v>119</v>
      </c>
      <c r="B127" s="25"/>
      <c r="C127" s="27" t="s">
        <v>380</v>
      </c>
      <c r="D127" s="22" t="s">
        <v>381</v>
      </c>
      <c r="E127" s="3" t="s">
        <v>379</v>
      </c>
      <c r="F127" s="3" t="s">
        <v>331</v>
      </c>
      <c r="G127" s="3"/>
      <c r="H127" s="3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>
        <f t="shared" si="1"/>
        <v>0</v>
      </c>
      <c r="X127" s="7"/>
      <c r="Y127" s="7"/>
      <c r="Z127" s="7"/>
      <c r="AA127" s="7"/>
      <c r="AB127" s="7"/>
      <c r="AC127" s="7"/>
      <c r="AD127" s="7"/>
    </row>
    <row r="128" spans="1:30" ht="20.100000000000001" customHeight="1">
      <c r="A128" s="7">
        <v>120</v>
      </c>
      <c r="B128" s="25"/>
      <c r="C128" s="27" t="s">
        <v>382</v>
      </c>
      <c r="D128" s="22" t="s">
        <v>383</v>
      </c>
      <c r="E128" s="3" t="s">
        <v>384</v>
      </c>
      <c r="F128" s="3" t="s">
        <v>331</v>
      </c>
      <c r="G128" s="3"/>
      <c r="H128" s="3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>
        <f t="shared" si="1"/>
        <v>0</v>
      </c>
      <c r="X128" s="7"/>
      <c r="Y128" s="7"/>
      <c r="Z128" s="7"/>
      <c r="AA128" s="7"/>
      <c r="AB128" s="7"/>
      <c r="AC128" s="7"/>
      <c r="AD128" s="7"/>
    </row>
    <row r="129" spans="1:30" ht="20.100000000000001" customHeight="1">
      <c r="A129" s="7">
        <v>121</v>
      </c>
      <c r="B129" s="25"/>
      <c r="C129" s="27" t="s">
        <v>386</v>
      </c>
      <c r="D129" s="22" t="s">
        <v>387</v>
      </c>
      <c r="E129" s="3" t="s">
        <v>385</v>
      </c>
      <c r="F129" s="3" t="s">
        <v>331</v>
      </c>
      <c r="G129" s="3"/>
      <c r="H129" s="3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>
        <f t="shared" si="1"/>
        <v>0</v>
      </c>
      <c r="X129" s="7"/>
      <c r="Y129" s="7"/>
      <c r="Z129" s="7"/>
      <c r="AA129" s="7"/>
      <c r="AB129" s="7"/>
      <c r="AC129" s="7"/>
      <c r="AD129" s="7"/>
    </row>
    <row r="130" spans="1:30" ht="20.100000000000001" customHeight="1">
      <c r="A130" s="7">
        <v>122</v>
      </c>
      <c r="B130" s="25"/>
      <c r="C130" s="27" t="s">
        <v>388</v>
      </c>
      <c r="D130" s="22" t="s">
        <v>389</v>
      </c>
      <c r="E130" s="3" t="s">
        <v>390</v>
      </c>
      <c r="F130" s="3" t="s">
        <v>331</v>
      </c>
      <c r="G130" s="3"/>
      <c r="H130" s="3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>
        <f t="shared" si="1"/>
        <v>0</v>
      </c>
      <c r="X130" s="7"/>
      <c r="Y130" s="7"/>
      <c r="Z130" s="7"/>
      <c r="AA130" s="7"/>
      <c r="AB130" s="7"/>
      <c r="AC130" s="7"/>
      <c r="AD130" s="7"/>
    </row>
    <row r="131" spans="1:30" ht="20.100000000000001" customHeight="1">
      <c r="A131" s="7">
        <v>123</v>
      </c>
      <c r="B131" s="25"/>
      <c r="C131" s="27" t="s">
        <v>391</v>
      </c>
      <c r="D131" s="22" t="s">
        <v>392</v>
      </c>
      <c r="E131" s="3" t="s">
        <v>393</v>
      </c>
      <c r="F131" s="3" t="s">
        <v>331</v>
      </c>
      <c r="G131" s="3"/>
      <c r="H131" s="3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>
        <f t="shared" si="1"/>
        <v>0</v>
      </c>
      <c r="X131" s="7"/>
      <c r="Y131" s="7"/>
      <c r="Z131" s="7"/>
      <c r="AA131" s="7"/>
      <c r="AB131" s="7"/>
      <c r="AC131" s="7"/>
      <c r="AD131" s="7"/>
    </row>
    <row r="132" spans="1:30" ht="20.100000000000001" customHeight="1">
      <c r="A132" s="7">
        <v>124</v>
      </c>
      <c r="B132" s="25"/>
      <c r="C132" s="27" t="s">
        <v>395</v>
      </c>
      <c r="D132" s="22" t="s">
        <v>396</v>
      </c>
      <c r="E132" s="3" t="s">
        <v>394</v>
      </c>
      <c r="F132" s="3" t="s">
        <v>331</v>
      </c>
      <c r="G132" s="3"/>
      <c r="H132" s="3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>
        <f t="shared" si="1"/>
        <v>0</v>
      </c>
      <c r="X132" s="7"/>
      <c r="Y132" s="7"/>
      <c r="Z132" s="7"/>
      <c r="AA132" s="7"/>
      <c r="AB132" s="7"/>
      <c r="AC132" s="7"/>
      <c r="AD132" s="7"/>
    </row>
    <row r="133" spans="1:30" ht="20.100000000000001" customHeight="1">
      <c r="A133" s="7">
        <v>125</v>
      </c>
      <c r="B133" s="25"/>
      <c r="C133" s="27" t="s">
        <v>397</v>
      </c>
      <c r="D133" s="22" t="s">
        <v>398</v>
      </c>
      <c r="E133" s="3" t="s">
        <v>399</v>
      </c>
      <c r="F133" s="3" t="s">
        <v>331</v>
      </c>
      <c r="G133" s="3"/>
      <c r="H133" s="3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>
        <f t="shared" si="1"/>
        <v>0</v>
      </c>
      <c r="X133" s="7"/>
      <c r="Y133" s="7"/>
      <c r="Z133" s="7"/>
      <c r="AA133" s="7"/>
      <c r="AB133" s="7"/>
      <c r="AC133" s="7"/>
      <c r="AD133" s="7"/>
    </row>
    <row r="134" spans="1:30" ht="20.100000000000001" customHeight="1">
      <c r="A134" s="7">
        <v>126</v>
      </c>
      <c r="B134" s="30"/>
      <c r="C134" s="27" t="s">
        <v>505</v>
      </c>
      <c r="D134" s="22" t="s">
        <v>506</v>
      </c>
      <c r="E134" s="3" t="s">
        <v>507</v>
      </c>
      <c r="F134" s="3" t="s">
        <v>331</v>
      </c>
      <c r="G134" s="3"/>
      <c r="H134" s="3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20.100000000000001" customHeight="1">
      <c r="A135" s="7">
        <v>127</v>
      </c>
      <c r="B135" s="25"/>
      <c r="C135" s="27" t="s">
        <v>401</v>
      </c>
      <c r="D135" s="22" t="s">
        <v>402</v>
      </c>
      <c r="E135" s="3" t="s">
        <v>400</v>
      </c>
      <c r="F135" s="3" t="s">
        <v>331</v>
      </c>
      <c r="G135" s="3"/>
      <c r="H135" s="3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>
        <f t="shared" si="1"/>
        <v>0</v>
      </c>
      <c r="X135" s="7"/>
      <c r="Y135" s="7"/>
      <c r="Z135" s="7"/>
      <c r="AA135" s="7"/>
      <c r="AB135" s="7"/>
      <c r="AC135" s="7"/>
      <c r="AD135" s="7"/>
    </row>
    <row r="136" spans="1:30" ht="20.100000000000001" customHeight="1">
      <c r="A136" s="7">
        <v>128</v>
      </c>
      <c r="B136" s="25"/>
      <c r="C136" s="27" t="s">
        <v>404</v>
      </c>
      <c r="D136" s="22" t="s">
        <v>405</v>
      </c>
      <c r="E136" s="3" t="s">
        <v>406</v>
      </c>
      <c r="F136" s="3" t="s">
        <v>403</v>
      </c>
      <c r="G136" s="3"/>
      <c r="H136" s="3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>
        <f t="shared" si="1"/>
        <v>0</v>
      </c>
      <c r="X136" s="7"/>
      <c r="Y136" s="7"/>
      <c r="Z136" s="7"/>
      <c r="AA136" s="7"/>
      <c r="AB136" s="7"/>
      <c r="AC136" s="7"/>
      <c r="AD136" s="7"/>
    </row>
    <row r="137" spans="1:30" ht="20.100000000000001" customHeight="1">
      <c r="A137" s="7">
        <v>129</v>
      </c>
      <c r="B137" s="25"/>
      <c r="C137" s="27" t="s">
        <v>407</v>
      </c>
      <c r="D137" s="22" t="s">
        <v>408</v>
      </c>
      <c r="E137" s="3" t="s">
        <v>409</v>
      </c>
      <c r="F137" s="3" t="s">
        <v>403</v>
      </c>
      <c r="G137" s="3"/>
      <c r="H137" s="3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>
        <f t="shared" si="1"/>
        <v>0</v>
      </c>
      <c r="X137" s="7"/>
      <c r="Y137" s="7"/>
      <c r="Z137" s="7"/>
      <c r="AA137" s="7"/>
      <c r="AB137" s="7"/>
      <c r="AC137" s="7"/>
      <c r="AD137" s="7"/>
    </row>
    <row r="138" spans="1:30" ht="20.100000000000001" customHeight="1">
      <c r="A138" s="7">
        <v>130</v>
      </c>
      <c r="B138" s="25"/>
      <c r="C138" s="27" t="s">
        <v>411</v>
      </c>
      <c r="D138" s="22" t="s">
        <v>412</v>
      </c>
      <c r="E138" s="3" t="s">
        <v>410</v>
      </c>
      <c r="F138" s="3" t="s">
        <v>403</v>
      </c>
      <c r="G138" s="3"/>
      <c r="H138" s="3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>
        <f t="shared" si="1"/>
        <v>0</v>
      </c>
      <c r="X138" s="7"/>
      <c r="Y138" s="7"/>
      <c r="Z138" s="7"/>
      <c r="AA138" s="7"/>
      <c r="AB138" s="7"/>
      <c r="AC138" s="7"/>
      <c r="AD138" s="7"/>
    </row>
    <row r="139" spans="1:30" ht="20.100000000000001" customHeight="1">
      <c r="A139" s="7">
        <v>131</v>
      </c>
      <c r="B139" s="25"/>
      <c r="C139" s="27" t="s">
        <v>414</v>
      </c>
      <c r="D139" s="22" t="s">
        <v>415</v>
      </c>
      <c r="E139" s="3" t="s">
        <v>413</v>
      </c>
      <c r="F139" s="3" t="s">
        <v>403</v>
      </c>
      <c r="G139" s="3"/>
      <c r="H139" s="3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>
        <f t="shared" si="1"/>
        <v>0</v>
      </c>
      <c r="X139" s="7"/>
      <c r="Y139" s="7"/>
      <c r="Z139" s="7"/>
      <c r="AA139" s="7"/>
      <c r="AB139" s="7"/>
      <c r="AC139" s="7"/>
      <c r="AD139" s="7"/>
    </row>
    <row r="140" spans="1:30" ht="20.100000000000001" customHeight="1">
      <c r="A140" s="7">
        <v>132</v>
      </c>
      <c r="B140" s="25"/>
      <c r="C140" s="27" t="s">
        <v>416</v>
      </c>
      <c r="D140" s="22" t="s">
        <v>417</v>
      </c>
      <c r="E140" s="3" t="s">
        <v>418</v>
      </c>
      <c r="F140" s="3" t="s">
        <v>403</v>
      </c>
      <c r="G140" s="3"/>
      <c r="H140" s="3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>
        <f t="shared" si="1"/>
        <v>0</v>
      </c>
      <c r="X140" s="7"/>
      <c r="Y140" s="7"/>
      <c r="Z140" s="7"/>
      <c r="AA140" s="7"/>
      <c r="AB140" s="7"/>
      <c r="AC140" s="7"/>
      <c r="AD140" s="7"/>
    </row>
    <row r="141" spans="1:30" ht="20.100000000000001" customHeight="1">
      <c r="A141" s="7">
        <v>133</v>
      </c>
      <c r="B141" s="25"/>
      <c r="C141" s="27" t="s">
        <v>419</v>
      </c>
      <c r="D141" s="22" t="s">
        <v>420</v>
      </c>
      <c r="E141" s="3" t="s">
        <v>421</v>
      </c>
      <c r="F141" s="3" t="s">
        <v>403</v>
      </c>
      <c r="G141" s="3"/>
      <c r="H141" s="3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>
        <f t="shared" si="1"/>
        <v>0</v>
      </c>
      <c r="X141" s="7"/>
      <c r="Y141" s="7"/>
      <c r="Z141" s="7"/>
      <c r="AA141" s="7"/>
      <c r="AB141" s="7"/>
      <c r="AC141" s="7"/>
      <c r="AD141" s="7"/>
    </row>
    <row r="142" spans="1:30" ht="20.100000000000001" customHeight="1">
      <c r="A142" s="7">
        <v>134</v>
      </c>
      <c r="B142" s="25"/>
      <c r="C142" s="27" t="s">
        <v>422</v>
      </c>
      <c r="D142" s="22" t="s">
        <v>423</v>
      </c>
      <c r="E142" s="3" t="s">
        <v>424</v>
      </c>
      <c r="F142" s="3" t="s">
        <v>403</v>
      </c>
      <c r="G142" s="3"/>
      <c r="H142" s="3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>
        <f t="shared" si="1"/>
        <v>0</v>
      </c>
      <c r="X142" s="7"/>
      <c r="Y142" s="7"/>
      <c r="Z142" s="7"/>
      <c r="AA142" s="7"/>
      <c r="AB142" s="7"/>
      <c r="AC142" s="7"/>
      <c r="AD142" s="7"/>
    </row>
    <row r="143" spans="1:30" ht="20.100000000000001" customHeight="1">
      <c r="A143" s="7">
        <v>135</v>
      </c>
      <c r="B143" s="25"/>
      <c r="C143" s="27" t="s">
        <v>426</v>
      </c>
      <c r="D143" s="22" t="s">
        <v>427</v>
      </c>
      <c r="E143" s="3" t="s">
        <v>425</v>
      </c>
      <c r="F143" s="3" t="s">
        <v>403</v>
      </c>
      <c r="G143" s="3"/>
      <c r="H143" s="3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>
        <f t="shared" si="1"/>
        <v>0</v>
      </c>
      <c r="X143" s="7"/>
      <c r="Y143" s="7"/>
      <c r="Z143" s="7"/>
      <c r="AA143" s="7"/>
      <c r="AB143" s="7"/>
      <c r="AC143" s="7"/>
      <c r="AD143" s="7"/>
    </row>
    <row r="144" spans="1:30" ht="20.100000000000001" customHeight="1">
      <c r="A144" s="7">
        <v>136</v>
      </c>
      <c r="B144" s="28"/>
      <c r="C144" s="27" t="s">
        <v>428</v>
      </c>
      <c r="D144" s="22" t="s">
        <v>429</v>
      </c>
      <c r="E144" s="3" t="s">
        <v>430</v>
      </c>
      <c r="F144" s="3" t="s">
        <v>403</v>
      </c>
      <c r="G144" s="3"/>
      <c r="H144" s="3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>
        <f t="shared" si="1"/>
        <v>0</v>
      </c>
      <c r="X144" s="7"/>
      <c r="Y144" s="7"/>
      <c r="Z144" s="7"/>
      <c r="AA144" s="7"/>
      <c r="AB144" s="7"/>
      <c r="AC144" s="7"/>
      <c r="AD144" s="7"/>
    </row>
    <row r="145" spans="1:30" ht="20.100000000000001" customHeight="1">
      <c r="A145" s="7">
        <v>137</v>
      </c>
      <c r="B145" s="28"/>
      <c r="C145" s="27" t="s">
        <v>431</v>
      </c>
      <c r="D145" s="22" t="s">
        <v>432</v>
      </c>
      <c r="E145" s="3" t="s">
        <v>433</v>
      </c>
      <c r="F145" s="3" t="s">
        <v>403</v>
      </c>
      <c r="G145" s="3"/>
      <c r="H145" s="3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>
        <f t="shared" si="1"/>
        <v>0</v>
      </c>
      <c r="X145" s="7"/>
      <c r="Y145" s="7"/>
      <c r="Z145" s="7"/>
      <c r="AA145" s="7"/>
      <c r="AB145" s="7"/>
      <c r="AC145" s="7"/>
      <c r="AD145" s="7"/>
    </row>
    <row r="146" spans="1:30" ht="20.100000000000001" customHeight="1">
      <c r="A146" s="7">
        <v>138</v>
      </c>
      <c r="B146" s="28"/>
      <c r="C146" s="27" t="s">
        <v>434</v>
      </c>
      <c r="D146" s="22" t="s">
        <v>435</v>
      </c>
      <c r="E146" s="3" t="s">
        <v>436</v>
      </c>
      <c r="F146" s="3" t="s">
        <v>403</v>
      </c>
      <c r="G146" s="3"/>
      <c r="H146" s="3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>
        <f t="shared" si="1"/>
        <v>0</v>
      </c>
      <c r="X146" s="7"/>
      <c r="Y146" s="7"/>
      <c r="Z146" s="7"/>
      <c r="AA146" s="7"/>
      <c r="AB146" s="7"/>
      <c r="AC146" s="7"/>
      <c r="AD146" s="7"/>
    </row>
    <row r="147" spans="1:30" ht="20.100000000000001" customHeight="1">
      <c r="A147" s="7">
        <v>139</v>
      </c>
      <c r="B147" s="28"/>
      <c r="C147" s="27" t="s">
        <v>437</v>
      </c>
      <c r="D147" s="22" t="s">
        <v>438</v>
      </c>
      <c r="E147" s="3" t="s">
        <v>439</v>
      </c>
      <c r="F147" s="3" t="s">
        <v>403</v>
      </c>
      <c r="G147" s="3"/>
      <c r="H147" s="3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>
        <f t="shared" si="1"/>
        <v>0</v>
      </c>
      <c r="X147" s="7"/>
      <c r="Y147" s="7"/>
      <c r="Z147" s="7"/>
      <c r="AA147" s="7"/>
      <c r="AB147" s="7"/>
      <c r="AC147" s="7"/>
      <c r="AD147" s="7"/>
    </row>
    <row r="148" spans="1:30" ht="20.100000000000001" customHeight="1">
      <c r="A148" s="7">
        <v>140</v>
      </c>
      <c r="B148" s="28"/>
      <c r="C148" s="27" t="s">
        <v>441</v>
      </c>
      <c r="D148" s="22" t="s">
        <v>442</v>
      </c>
      <c r="E148" s="3" t="s">
        <v>440</v>
      </c>
      <c r="F148" s="3" t="s">
        <v>403</v>
      </c>
      <c r="G148" s="3"/>
      <c r="H148" s="3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>
        <f t="shared" si="1"/>
        <v>0</v>
      </c>
      <c r="X148" s="7"/>
      <c r="Y148" s="7"/>
      <c r="Z148" s="7"/>
      <c r="AA148" s="7"/>
      <c r="AB148" s="7"/>
      <c r="AC148" s="7"/>
      <c r="AD148" s="7"/>
    </row>
    <row r="149" spans="1:30" ht="20.100000000000001" customHeight="1">
      <c r="A149" s="7">
        <v>141</v>
      </c>
      <c r="B149" s="28"/>
      <c r="C149" s="27" t="s">
        <v>444</v>
      </c>
      <c r="D149" s="22" t="s">
        <v>445</v>
      </c>
      <c r="E149" s="3" t="s">
        <v>443</v>
      </c>
      <c r="F149" s="3" t="s">
        <v>403</v>
      </c>
      <c r="G149" s="3"/>
      <c r="H149" s="3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>
        <f t="shared" si="1"/>
        <v>0</v>
      </c>
      <c r="X149" s="7"/>
      <c r="Y149" s="7"/>
      <c r="Z149" s="7"/>
      <c r="AA149" s="7"/>
      <c r="AB149" s="7"/>
      <c r="AC149" s="7"/>
      <c r="AD149" s="7"/>
    </row>
    <row r="150" spans="1:30" ht="20.100000000000001" customHeight="1">
      <c r="A150" s="7">
        <v>142</v>
      </c>
      <c r="B150" s="28"/>
      <c r="C150" s="27" t="s">
        <v>446</v>
      </c>
      <c r="D150" s="22" t="s">
        <v>447</v>
      </c>
      <c r="E150" s="3" t="s">
        <v>448</v>
      </c>
      <c r="F150" s="3" t="s">
        <v>403</v>
      </c>
      <c r="G150" s="3"/>
      <c r="H150" s="3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>
        <f t="shared" si="1"/>
        <v>0</v>
      </c>
      <c r="X150" s="7"/>
      <c r="Y150" s="7"/>
      <c r="Z150" s="7"/>
      <c r="AA150" s="7"/>
      <c r="AB150" s="7"/>
      <c r="AC150" s="7"/>
      <c r="AD150" s="7"/>
    </row>
    <row r="151" spans="1:30" ht="20.100000000000001" customHeight="1">
      <c r="A151" s="7">
        <v>143</v>
      </c>
      <c r="B151" s="28"/>
      <c r="C151" s="27" t="s">
        <v>450</v>
      </c>
      <c r="D151" s="22" t="s">
        <v>451</v>
      </c>
      <c r="E151" s="3" t="s">
        <v>449</v>
      </c>
      <c r="F151" s="3" t="s">
        <v>403</v>
      </c>
      <c r="G151" s="3"/>
      <c r="H151" s="3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>
        <f t="shared" si="1"/>
        <v>0</v>
      </c>
      <c r="X151" s="7"/>
      <c r="Y151" s="7"/>
      <c r="Z151" s="7"/>
      <c r="AA151" s="7"/>
      <c r="AB151" s="7"/>
      <c r="AC151" s="7"/>
      <c r="AD151" s="7"/>
    </row>
    <row r="152" spans="1:30" ht="20.100000000000001" customHeight="1">
      <c r="A152" s="7">
        <v>144</v>
      </c>
      <c r="B152" s="28"/>
      <c r="C152" s="27" t="s">
        <v>452</v>
      </c>
      <c r="D152" s="22" t="s">
        <v>453</v>
      </c>
      <c r="E152" s="3" t="s">
        <v>454</v>
      </c>
      <c r="F152" s="3" t="s">
        <v>403</v>
      </c>
      <c r="G152" s="3"/>
      <c r="H152" s="3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>
        <f t="shared" si="1"/>
        <v>0</v>
      </c>
      <c r="X152" s="7"/>
      <c r="Y152" s="7"/>
      <c r="Z152" s="7"/>
      <c r="AA152" s="7"/>
      <c r="AB152" s="7"/>
      <c r="AC152" s="7"/>
      <c r="AD152" s="7"/>
    </row>
    <row r="153" spans="1:30" ht="20.100000000000001" customHeight="1">
      <c r="A153" s="7">
        <v>145</v>
      </c>
      <c r="B153" s="28"/>
      <c r="C153" s="27" t="s">
        <v>456</v>
      </c>
      <c r="D153" s="22" t="s">
        <v>457</v>
      </c>
      <c r="E153" s="3" t="s">
        <v>455</v>
      </c>
      <c r="F153" s="3" t="s">
        <v>403</v>
      </c>
      <c r="G153" s="3"/>
      <c r="H153" s="3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>
        <f t="shared" si="1"/>
        <v>0</v>
      </c>
      <c r="X153" s="7"/>
      <c r="Y153" s="7"/>
      <c r="Z153" s="7"/>
      <c r="AA153" s="7"/>
      <c r="AB153" s="7"/>
      <c r="AC153" s="7"/>
      <c r="AD153" s="7"/>
    </row>
    <row r="154" spans="1:30" ht="20.100000000000001" customHeight="1">
      <c r="A154" s="7">
        <v>146</v>
      </c>
      <c r="B154" s="28"/>
      <c r="C154" s="27" t="s">
        <v>458</v>
      </c>
      <c r="D154" s="22" t="s">
        <v>459</v>
      </c>
      <c r="E154" s="3" t="s">
        <v>460</v>
      </c>
      <c r="F154" s="3" t="s">
        <v>403</v>
      </c>
      <c r="G154" s="3"/>
      <c r="H154" s="3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>
        <f t="shared" si="1"/>
        <v>0</v>
      </c>
      <c r="X154" s="7"/>
      <c r="Y154" s="7"/>
      <c r="Z154" s="7"/>
      <c r="AA154" s="7"/>
      <c r="AB154" s="7"/>
      <c r="AC154" s="7"/>
      <c r="AD154" s="7"/>
    </row>
    <row r="155" spans="1:30" ht="20.100000000000001" customHeight="1">
      <c r="A155" s="7">
        <v>147</v>
      </c>
      <c r="B155" s="28"/>
      <c r="C155" s="27" t="s">
        <v>461</v>
      </c>
      <c r="D155" s="22" t="s">
        <v>462</v>
      </c>
      <c r="E155" s="3" t="s">
        <v>463</v>
      </c>
      <c r="F155" s="3" t="s">
        <v>403</v>
      </c>
      <c r="G155" s="3"/>
      <c r="H155" s="3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>
        <f t="shared" si="1"/>
        <v>0</v>
      </c>
      <c r="X155" s="7"/>
      <c r="Y155" s="7"/>
      <c r="Z155" s="7"/>
      <c r="AA155" s="7"/>
      <c r="AB155" s="7"/>
      <c r="AC155" s="7"/>
      <c r="AD155" s="7"/>
    </row>
    <row r="156" spans="1:30" ht="20.100000000000001" customHeight="1">
      <c r="A156" s="7">
        <v>148</v>
      </c>
      <c r="B156" s="28"/>
      <c r="C156" s="27" t="s">
        <v>464</v>
      </c>
      <c r="D156" s="22" t="s">
        <v>465</v>
      </c>
      <c r="E156" s="3" t="s">
        <v>466</v>
      </c>
      <c r="F156" s="3" t="s">
        <v>403</v>
      </c>
      <c r="G156" s="3"/>
      <c r="H156" s="3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>
        <f t="shared" si="1"/>
        <v>0</v>
      </c>
      <c r="X156" s="7"/>
      <c r="Y156" s="7"/>
      <c r="Z156" s="7"/>
      <c r="AA156" s="7"/>
      <c r="AB156" s="7"/>
      <c r="AC156" s="7"/>
      <c r="AD156" s="7"/>
    </row>
    <row r="157" spans="1:30" ht="20.100000000000001" customHeight="1">
      <c r="A157" s="7">
        <v>149</v>
      </c>
      <c r="B157" s="28"/>
      <c r="C157" s="27" t="s">
        <v>467</v>
      </c>
      <c r="D157" s="22" t="s">
        <v>468</v>
      </c>
      <c r="E157" s="3" t="s">
        <v>469</v>
      </c>
      <c r="F157" s="3" t="s">
        <v>403</v>
      </c>
      <c r="G157" s="3"/>
      <c r="H157" s="3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>
        <f t="shared" si="1"/>
        <v>0</v>
      </c>
      <c r="X157" s="7"/>
      <c r="Y157" s="7"/>
      <c r="Z157" s="7"/>
      <c r="AA157" s="7"/>
      <c r="AB157" s="7"/>
      <c r="AC157" s="7"/>
      <c r="AD157" s="7"/>
    </row>
    <row r="158" spans="1:30" ht="20.100000000000001" customHeight="1">
      <c r="A158" s="7">
        <v>150</v>
      </c>
      <c r="B158" s="28"/>
      <c r="C158" s="27" t="s">
        <v>471</v>
      </c>
      <c r="D158" s="22" t="s">
        <v>472</v>
      </c>
      <c r="E158" s="3" t="s">
        <v>470</v>
      </c>
      <c r="F158" s="3" t="s">
        <v>403</v>
      </c>
      <c r="G158" s="3"/>
      <c r="H158" s="3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>
        <f t="shared" si="1"/>
        <v>0</v>
      </c>
      <c r="X158" s="7"/>
      <c r="Y158" s="7"/>
      <c r="Z158" s="7"/>
      <c r="AA158" s="7"/>
      <c r="AB158" s="7"/>
      <c r="AC158" s="7"/>
      <c r="AD158" s="7"/>
    </row>
    <row r="159" spans="1:30" ht="20.100000000000001" customHeight="1">
      <c r="A159" s="7">
        <v>151</v>
      </c>
      <c r="B159" s="28"/>
      <c r="C159" s="27" t="s">
        <v>474</v>
      </c>
      <c r="D159" s="22" t="s">
        <v>475</v>
      </c>
      <c r="E159" s="3" t="s">
        <v>473</v>
      </c>
      <c r="F159" s="3" t="s">
        <v>403</v>
      </c>
      <c r="G159" s="3"/>
      <c r="H159" s="3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>
        <f t="shared" si="1"/>
        <v>0</v>
      </c>
      <c r="X159" s="7"/>
      <c r="Y159" s="7"/>
      <c r="Z159" s="7"/>
      <c r="AA159" s="7"/>
      <c r="AB159" s="7"/>
      <c r="AC159" s="7"/>
      <c r="AD159" s="7"/>
    </row>
    <row r="160" spans="1:30" ht="20.100000000000001" customHeight="1">
      <c r="A160" s="7">
        <v>152</v>
      </c>
      <c r="B160" s="28"/>
      <c r="C160" s="27" t="s">
        <v>477</v>
      </c>
      <c r="D160" s="22" t="s">
        <v>478</v>
      </c>
      <c r="E160" s="3" t="s">
        <v>476</v>
      </c>
      <c r="F160" s="3" t="s">
        <v>403</v>
      </c>
      <c r="G160" s="3"/>
      <c r="H160" s="3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>
        <f t="shared" si="1"/>
        <v>0</v>
      </c>
      <c r="X160" s="7"/>
      <c r="Y160" s="7"/>
      <c r="Z160" s="7"/>
      <c r="AA160" s="7"/>
      <c r="AB160" s="7"/>
      <c r="AC160" s="7"/>
      <c r="AD160" s="7"/>
    </row>
    <row r="161" spans="1:30" ht="20.100000000000001" customHeight="1">
      <c r="A161" s="7">
        <v>153</v>
      </c>
      <c r="B161" s="30"/>
      <c r="C161" s="27" t="s">
        <v>508</v>
      </c>
      <c r="D161" s="22" t="s">
        <v>509</v>
      </c>
      <c r="E161" s="3" t="s">
        <v>384</v>
      </c>
      <c r="F161" s="3" t="s">
        <v>403</v>
      </c>
      <c r="G161" s="3"/>
      <c r="H161" s="3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>
        <f t="shared" si="1"/>
        <v>0</v>
      </c>
      <c r="X161" s="7"/>
      <c r="Y161" s="7"/>
      <c r="Z161" s="7"/>
      <c r="AA161" s="7"/>
      <c r="AB161" s="7"/>
      <c r="AC161" s="7"/>
      <c r="AD161" s="7"/>
    </row>
    <row r="162" spans="1:30" ht="20.100000000000001" customHeight="1">
      <c r="A162" s="7">
        <v>154</v>
      </c>
      <c r="B162" s="30"/>
      <c r="C162" s="27" t="s">
        <v>510</v>
      </c>
      <c r="D162" s="22" t="s">
        <v>511</v>
      </c>
      <c r="E162" s="3" t="s">
        <v>512</v>
      </c>
      <c r="F162" s="3" t="s">
        <v>403</v>
      </c>
      <c r="G162" s="3"/>
      <c r="H162" s="3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>
        <f t="shared" si="1"/>
        <v>0</v>
      </c>
      <c r="X162" s="7"/>
      <c r="Y162" s="7"/>
      <c r="Z162" s="7"/>
      <c r="AA162" s="7"/>
      <c r="AB162" s="7"/>
      <c r="AC162" s="7"/>
      <c r="AD162" s="7"/>
    </row>
    <row r="163" spans="1:30" ht="20.100000000000001" customHeight="1">
      <c r="A163" s="7">
        <v>155</v>
      </c>
      <c r="B163" s="30"/>
      <c r="C163" s="27" t="s">
        <v>514</v>
      </c>
      <c r="D163" s="22" t="s">
        <v>515</v>
      </c>
      <c r="E163" s="3" t="s">
        <v>513</v>
      </c>
      <c r="F163" s="3" t="s">
        <v>403</v>
      </c>
      <c r="G163" s="3"/>
      <c r="H163" s="3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>
        <f t="shared" si="1"/>
        <v>0</v>
      </c>
      <c r="X163" s="7"/>
      <c r="Y163" s="7"/>
      <c r="Z163" s="7"/>
      <c r="AA163" s="7"/>
      <c r="AB163" s="7"/>
      <c r="AC163" s="7"/>
      <c r="AD163" s="7"/>
    </row>
    <row r="164" spans="1:30" ht="20.100000000000001" customHeight="1">
      <c r="A164" s="7">
        <v>156</v>
      </c>
      <c r="B164" s="30"/>
      <c r="C164" s="27" t="s">
        <v>517</v>
      </c>
      <c r="D164" s="22" t="s">
        <v>518</v>
      </c>
      <c r="E164" s="3" t="s">
        <v>516</v>
      </c>
      <c r="F164" s="3" t="s">
        <v>403</v>
      </c>
      <c r="G164" s="3"/>
      <c r="H164" s="3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>
        <f t="shared" si="1"/>
        <v>0</v>
      </c>
      <c r="X164" s="7"/>
      <c r="Y164" s="7"/>
      <c r="Z164" s="7"/>
      <c r="AA164" s="7"/>
      <c r="AB164" s="7"/>
      <c r="AC164" s="7"/>
      <c r="AD164" s="7"/>
    </row>
    <row r="165" spans="1:30" ht="20.100000000000001" customHeight="1">
      <c r="A165" s="7">
        <v>157</v>
      </c>
      <c r="B165" s="30"/>
      <c r="C165" s="27" t="s">
        <v>519</v>
      </c>
      <c r="D165" s="22" t="s">
        <v>520</v>
      </c>
      <c r="E165" s="3" t="s">
        <v>237</v>
      </c>
      <c r="F165" s="3" t="s">
        <v>403</v>
      </c>
      <c r="G165" s="3"/>
      <c r="H165" s="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>
        <f t="shared" si="1"/>
        <v>0</v>
      </c>
      <c r="X165" s="7"/>
      <c r="Y165" s="7"/>
      <c r="Z165" s="7"/>
      <c r="AA165" s="7"/>
      <c r="AB165" s="7"/>
      <c r="AC165" s="7"/>
      <c r="AD165" s="7"/>
    </row>
    <row r="166" spans="1:30" ht="20.100000000000001" customHeight="1">
      <c r="A166" s="7">
        <v>158</v>
      </c>
      <c r="B166" s="30"/>
      <c r="C166" s="27" t="s">
        <v>521</v>
      </c>
      <c r="D166" s="22" t="s">
        <v>522</v>
      </c>
      <c r="E166" s="3" t="s">
        <v>523</v>
      </c>
      <c r="F166" s="3" t="s">
        <v>403</v>
      </c>
      <c r="G166" s="3"/>
      <c r="H166" s="3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>
        <f t="shared" si="1"/>
        <v>0</v>
      </c>
      <c r="X166" s="7"/>
      <c r="Y166" s="7"/>
      <c r="Z166" s="7"/>
      <c r="AA166" s="7"/>
      <c r="AB166" s="7"/>
      <c r="AC166" s="7"/>
      <c r="AD166" s="7"/>
    </row>
    <row r="167" spans="1:30" ht="20.100000000000001" customHeight="1">
      <c r="A167" s="7">
        <v>159</v>
      </c>
      <c r="B167" s="28"/>
      <c r="C167" s="27" t="s">
        <v>480</v>
      </c>
      <c r="D167" s="22" t="s">
        <v>481</v>
      </c>
      <c r="E167" s="3" t="s">
        <v>479</v>
      </c>
      <c r="F167" s="3" t="s">
        <v>403</v>
      </c>
      <c r="G167" s="3"/>
      <c r="H167" s="3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>
        <f t="shared" si="1"/>
        <v>0</v>
      </c>
      <c r="X167" s="7"/>
      <c r="Y167" s="7"/>
      <c r="Z167" s="7"/>
      <c r="AA167" s="7"/>
      <c r="AB167" s="7"/>
      <c r="AC167" s="7"/>
      <c r="AD167" s="7"/>
    </row>
    <row r="168" spans="1:30" ht="20.100000000000001" customHeight="1">
      <c r="A168" s="7">
        <v>160</v>
      </c>
      <c r="B168" s="28"/>
      <c r="C168" s="27" t="s">
        <v>482</v>
      </c>
      <c r="D168" s="22" t="s">
        <v>483</v>
      </c>
      <c r="E168" s="3" t="s">
        <v>484</v>
      </c>
      <c r="F168" s="3" t="s">
        <v>403</v>
      </c>
      <c r="G168" s="3"/>
      <c r="H168" s="3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>
        <f t="shared" si="1"/>
        <v>0</v>
      </c>
      <c r="X168" s="7"/>
      <c r="Y168" s="7"/>
      <c r="Z168" s="7"/>
      <c r="AA168" s="7"/>
      <c r="AB168" s="7"/>
      <c r="AC168" s="7"/>
      <c r="AD168" s="7"/>
    </row>
    <row r="169" spans="1:30" ht="20.100000000000001" customHeight="1">
      <c r="A169" s="7">
        <v>161</v>
      </c>
      <c r="B169" s="43" t="s">
        <v>491</v>
      </c>
      <c r="C169" s="44"/>
      <c r="D169" s="22" t="s">
        <v>492</v>
      </c>
      <c r="E169" s="3" t="s">
        <v>493</v>
      </c>
      <c r="F169" s="3" t="s">
        <v>403</v>
      </c>
      <c r="G169" s="3"/>
      <c r="H169" s="3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>
        <f t="shared" si="1"/>
        <v>0</v>
      </c>
      <c r="X169" s="7"/>
      <c r="Y169" s="7"/>
      <c r="Z169" s="7"/>
      <c r="AA169" s="7"/>
      <c r="AB169" s="7"/>
      <c r="AC169" s="7"/>
      <c r="AD169" s="7"/>
    </row>
    <row r="170" spans="1:30" ht="20.100000000000001" customHeight="1">
      <c r="A170" s="7">
        <v>162</v>
      </c>
      <c r="B170" s="43" t="s">
        <v>494</v>
      </c>
      <c r="C170" s="44"/>
      <c r="D170" s="22" t="s">
        <v>495</v>
      </c>
      <c r="E170" s="3" t="s">
        <v>119</v>
      </c>
      <c r="F170" s="3" t="s">
        <v>403</v>
      </c>
      <c r="G170" s="3"/>
      <c r="H170" s="3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>
        <f t="shared" si="1"/>
        <v>0</v>
      </c>
      <c r="X170" s="7"/>
      <c r="Y170" s="7"/>
      <c r="Z170" s="7"/>
      <c r="AA170" s="7"/>
      <c r="AB170" s="7"/>
      <c r="AC170" s="7"/>
      <c r="AD170" s="7"/>
    </row>
    <row r="171" spans="1:30" ht="20.100000000000001" customHeight="1">
      <c r="A171" s="7">
        <v>163</v>
      </c>
      <c r="B171" s="43" t="s">
        <v>496</v>
      </c>
      <c r="C171" s="44"/>
      <c r="D171" s="22" t="s">
        <v>497</v>
      </c>
      <c r="E171" s="3" t="s">
        <v>498</v>
      </c>
      <c r="F171" s="3" t="s">
        <v>403</v>
      </c>
      <c r="G171" s="3"/>
      <c r="H171" s="3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>
        <f t="shared" si="1"/>
        <v>0</v>
      </c>
      <c r="X171" s="7"/>
      <c r="Y171" s="7"/>
      <c r="Z171" s="7"/>
      <c r="AA171" s="7"/>
      <c r="AB171" s="7"/>
      <c r="AC171" s="7"/>
      <c r="AD171" s="7"/>
    </row>
    <row r="172" spans="1:30" ht="20.100000000000001" customHeight="1">
      <c r="A172" s="7">
        <v>164</v>
      </c>
      <c r="B172" s="30"/>
      <c r="C172" s="27" t="s">
        <v>550</v>
      </c>
      <c r="D172" s="22" t="s">
        <v>551</v>
      </c>
      <c r="E172" s="3" t="s">
        <v>552</v>
      </c>
      <c r="F172" s="3" t="s">
        <v>403</v>
      </c>
      <c r="G172" s="3"/>
      <c r="H172" s="3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>
        <f t="shared" si="1"/>
        <v>0</v>
      </c>
      <c r="X172" s="7"/>
      <c r="Y172" s="7"/>
      <c r="Z172" s="7"/>
      <c r="AA172" s="7"/>
      <c r="AB172" s="7"/>
      <c r="AC172" s="7"/>
      <c r="AD172" s="7"/>
    </row>
    <row r="173" spans="1:30" ht="20.100000000000001" customHeight="1">
      <c r="A173" s="7">
        <v>166</v>
      </c>
      <c r="B173" s="43"/>
      <c r="C173" s="44"/>
      <c r="D173" s="3"/>
      <c r="E173" s="3"/>
      <c r="F173" s="3"/>
      <c r="G173" s="3"/>
      <c r="H173" s="3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>
        <f t="shared" si="1"/>
        <v>0</v>
      </c>
      <c r="X173" s="7"/>
      <c r="Y173" s="7"/>
      <c r="Z173" s="7"/>
      <c r="AA173" s="7"/>
      <c r="AB173" s="7"/>
      <c r="AC173" s="7"/>
      <c r="AD173" s="7" t="s">
        <v>19</v>
      </c>
    </row>
    <row r="174" spans="1:30" ht="20.100000000000001" customHeight="1">
      <c r="A174" s="7">
        <v>167</v>
      </c>
      <c r="B174" s="45"/>
      <c r="C174" s="44"/>
      <c r="D174" s="3"/>
      <c r="E174" s="3"/>
      <c r="F174" s="3"/>
      <c r="G174" s="3"/>
      <c r="H174" s="3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>
        <f t="shared" ref="W174" si="2">COUNTIF(I174:V174,"V")</f>
        <v>0</v>
      </c>
      <c r="X174" s="7"/>
      <c r="Y174" s="7"/>
      <c r="Z174" s="7"/>
      <c r="AA174" s="7"/>
      <c r="AB174" s="7"/>
      <c r="AC174" s="7"/>
      <c r="AD174" s="7" t="s">
        <v>18</v>
      </c>
    </row>
    <row r="175" spans="1:30" ht="20.100000000000001" customHeight="1">
      <c r="A175" s="38" t="s">
        <v>17</v>
      </c>
      <c r="B175" s="39"/>
      <c r="C175" s="39"/>
      <c r="D175" s="39"/>
      <c r="E175" s="39"/>
      <c r="F175" s="39"/>
      <c r="G175" s="39"/>
      <c r="H175" s="40"/>
      <c r="I175" s="21">
        <f t="shared" ref="I175:V175" si="3">COUNTIF(I10:I174,"V")</f>
        <v>0</v>
      </c>
      <c r="J175" s="21">
        <f t="shared" si="3"/>
        <v>0</v>
      </c>
      <c r="K175" s="21">
        <f t="shared" si="3"/>
        <v>0</v>
      </c>
      <c r="L175" s="21">
        <f t="shared" si="3"/>
        <v>0</v>
      </c>
      <c r="M175" s="21">
        <f t="shared" si="3"/>
        <v>0</v>
      </c>
      <c r="N175" s="21">
        <f t="shared" si="3"/>
        <v>0</v>
      </c>
      <c r="O175" s="21">
        <f t="shared" si="3"/>
        <v>0</v>
      </c>
      <c r="P175" s="21">
        <f t="shared" si="3"/>
        <v>0</v>
      </c>
      <c r="Q175" s="21">
        <f t="shared" si="3"/>
        <v>0</v>
      </c>
      <c r="R175" s="21">
        <f t="shared" si="3"/>
        <v>0</v>
      </c>
      <c r="S175" s="21">
        <f t="shared" si="3"/>
        <v>0</v>
      </c>
      <c r="T175" s="21">
        <f t="shared" si="3"/>
        <v>0</v>
      </c>
      <c r="U175" s="21">
        <f t="shared" si="3"/>
        <v>0</v>
      </c>
      <c r="V175" s="21">
        <f t="shared" si="3"/>
        <v>0</v>
      </c>
      <c r="W175" s="21">
        <f t="shared" ref="W175:AC175" si="4">COUNTIF(W10:W174,"V")</f>
        <v>0</v>
      </c>
      <c r="X175" s="21">
        <f t="shared" si="4"/>
        <v>0</v>
      </c>
      <c r="Y175" s="21">
        <f t="shared" si="4"/>
        <v>0</v>
      </c>
      <c r="Z175" s="21">
        <f t="shared" si="4"/>
        <v>0</v>
      </c>
      <c r="AA175" s="21">
        <f t="shared" si="4"/>
        <v>0</v>
      </c>
      <c r="AB175" s="21">
        <f t="shared" si="4"/>
        <v>0</v>
      </c>
      <c r="AC175" s="21">
        <f t="shared" si="4"/>
        <v>0</v>
      </c>
      <c r="AD175" s="19" t="str">
        <f>"MS = " &amp; COUNTIF(AD10:AD174,"MS") &amp; " | " &amp; " TMS = " &amp; COUNTIF(AD10:AD174,"TMS")</f>
        <v>MS = 2 |  TMS = 1</v>
      </c>
    </row>
    <row r="176" spans="1:30" ht="20.100000000000001" customHeight="1"/>
    <row r="177" spans="5:27" ht="20.100000000000001" customHeight="1">
      <c r="E177" s="1" t="s">
        <v>60</v>
      </c>
      <c r="AA177" s="1" t="s">
        <v>63</v>
      </c>
    </row>
    <row r="178" spans="5:27" ht="20.100000000000001" customHeight="1">
      <c r="E178" s="2" t="s">
        <v>61</v>
      </c>
      <c r="AA178" s="1" t="s">
        <v>64</v>
      </c>
    </row>
    <row r="179" spans="5:27" ht="20.100000000000001" customHeight="1">
      <c r="E179" s="1"/>
      <c r="AA179" s="1"/>
    </row>
    <row r="180" spans="5:27">
      <c r="E180" s="1"/>
      <c r="AA180" s="1"/>
    </row>
    <row r="181" spans="5:27">
      <c r="E181" s="18" t="s">
        <v>62</v>
      </c>
      <c r="AA181" s="18" t="s">
        <v>65</v>
      </c>
    </row>
  </sheetData>
  <mergeCells count="107">
    <mergeCell ref="B173:C173"/>
    <mergeCell ref="B121:C121"/>
    <mergeCell ref="B169:C169"/>
    <mergeCell ref="B170:C170"/>
    <mergeCell ref="B171:C171"/>
    <mergeCell ref="B100:C100"/>
    <mergeCell ref="B101:C101"/>
    <mergeCell ref="B102:C102"/>
    <mergeCell ref="B119:C119"/>
    <mergeCell ref="B120:C120"/>
    <mergeCell ref="B87:C87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7:C37"/>
    <mergeCell ref="B18:C18"/>
    <mergeCell ref="B19:C19"/>
    <mergeCell ref="B20:C20"/>
    <mergeCell ref="B21:C21"/>
    <mergeCell ref="B22:C22"/>
    <mergeCell ref="B38:C38"/>
    <mergeCell ref="B39:C39"/>
    <mergeCell ref="B40:C40"/>
    <mergeCell ref="B31:C31"/>
    <mergeCell ref="B32:C32"/>
    <mergeCell ref="B33:C33"/>
    <mergeCell ref="B34:C34"/>
    <mergeCell ref="B35:C35"/>
    <mergeCell ref="A175:H175"/>
    <mergeCell ref="D8:D9"/>
    <mergeCell ref="A8:A9"/>
    <mergeCell ref="AA8:AC8"/>
    <mergeCell ref="X8:Z8"/>
    <mergeCell ref="B10:C10"/>
    <mergeCell ref="B61:C61"/>
    <mergeCell ref="B174:C174"/>
    <mergeCell ref="B11:C11"/>
    <mergeCell ref="B12:C12"/>
    <mergeCell ref="B13:C13"/>
    <mergeCell ref="B14:C14"/>
    <mergeCell ref="B15:C15"/>
    <mergeCell ref="B16:C16"/>
    <mergeCell ref="B17:C17"/>
    <mergeCell ref="B27:C27"/>
    <mergeCell ref="B28:C28"/>
    <mergeCell ref="B29:C29"/>
    <mergeCell ref="B30:C30"/>
    <mergeCell ref="B23:C23"/>
    <mergeCell ref="B24:C24"/>
    <mergeCell ref="B25:C25"/>
    <mergeCell ref="B26:C26"/>
    <mergeCell ref="B36:C36"/>
    <mergeCell ref="AD8:AD9"/>
    <mergeCell ref="A1:AD1"/>
    <mergeCell ref="W8:W9"/>
    <mergeCell ref="I8:V8"/>
    <mergeCell ref="H8:H9"/>
    <mergeCell ref="G8:G9"/>
    <mergeCell ref="F8:F9"/>
    <mergeCell ref="E8:E9"/>
    <mergeCell ref="B8:C9"/>
  </mergeCells>
  <dataValidations count="2">
    <dataValidation type="list" allowBlank="1" showInputMessage="1" showErrorMessage="1" promptTitle="Cara Pengisian Kolom" prompt="_x000a_Pilih &quot;V&quot; Jika Kriteria Kolom Terpenuhi" sqref="I10:V174 X10:AC174">
      <formula1>"V"</formula1>
    </dataValidation>
    <dataValidation type="list" allowBlank="1" showInputMessage="1" showErrorMessage="1" promptTitle="Cara Pengisian Kolom" prompt="_x000a_Pilih &quot;MS/TMS&quot;" sqref="AD10:AD174">
      <formula1>"MS,TMS"</formula1>
    </dataValidation>
  </dataValidations>
  <pageMargins left="0.39370078740157483" right="0.59055118110236227" top="0.74803149606299213" bottom="0.74803149606299213" header="0.31496062992125984" footer="0.31496062992125984"/>
  <pageSetup paperSize="5" scale="70" orientation="landscape" horizontalDpi="0" verticalDpi="0" r:id="rId1"/>
  <ignoredErrors>
    <ignoredError sqref="I175:V17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A14" sqref="A14"/>
    </sheetView>
  </sheetViews>
  <sheetFormatPr defaultRowHeight="15"/>
  <cols>
    <col min="1" max="1" width="125.5703125" customWidth="1"/>
    <col min="2" max="2" width="2.5703125" customWidth="1"/>
    <col min="3" max="3" width="5.7109375" customWidth="1"/>
    <col min="4" max="4" width="112.28515625" customWidth="1"/>
  </cols>
  <sheetData>
    <row r="1" spans="1:4" ht="20.100000000000001" customHeight="1">
      <c r="A1" s="13" t="s">
        <v>20</v>
      </c>
      <c r="C1" s="49" t="s">
        <v>34</v>
      </c>
      <c r="D1" s="49"/>
    </row>
    <row r="2" spans="1:4" ht="20.100000000000001" customHeight="1">
      <c r="A2" s="13" t="s">
        <v>21</v>
      </c>
      <c r="C2" s="11" t="s">
        <v>35</v>
      </c>
      <c r="D2" s="12" t="s">
        <v>36</v>
      </c>
    </row>
    <row r="3" spans="1:4" ht="20.100000000000001" customHeight="1">
      <c r="A3" s="14" t="s">
        <v>51</v>
      </c>
      <c r="C3" s="9">
        <v>1</v>
      </c>
      <c r="D3" s="10" t="s">
        <v>37</v>
      </c>
    </row>
    <row r="4" spans="1:4" ht="20.100000000000001" customHeight="1">
      <c r="A4" s="14" t="s">
        <v>22</v>
      </c>
      <c r="C4" s="9">
        <v>2</v>
      </c>
      <c r="D4" s="10" t="s">
        <v>38</v>
      </c>
    </row>
    <row r="5" spans="1:4" ht="30">
      <c r="A5" s="14" t="s">
        <v>57</v>
      </c>
      <c r="C5" s="9">
        <v>3</v>
      </c>
      <c r="D5" s="10" t="s">
        <v>39</v>
      </c>
    </row>
    <row r="6" spans="1:4" ht="30">
      <c r="A6" s="14" t="s">
        <v>52</v>
      </c>
      <c r="C6" s="9">
        <v>4</v>
      </c>
      <c r="D6" s="10" t="s">
        <v>40</v>
      </c>
    </row>
    <row r="7" spans="1:4" ht="20.100000000000001" customHeight="1">
      <c r="A7" s="14" t="s">
        <v>53</v>
      </c>
      <c r="C7" s="9">
        <v>5</v>
      </c>
      <c r="D7" s="10" t="s">
        <v>41</v>
      </c>
    </row>
    <row r="8" spans="1:4" ht="20.100000000000001" customHeight="1">
      <c r="A8" s="15"/>
      <c r="C8" s="9">
        <v>6</v>
      </c>
      <c r="D8" s="10" t="s">
        <v>42</v>
      </c>
    </row>
    <row r="9" spans="1:4" ht="20.100000000000001" customHeight="1">
      <c r="A9" s="16" t="s">
        <v>23</v>
      </c>
      <c r="C9" s="9">
        <v>7</v>
      </c>
      <c r="D9" s="10" t="s">
        <v>43</v>
      </c>
    </row>
    <row r="10" spans="1:4" ht="20.100000000000001" customHeight="1">
      <c r="A10" s="17" t="s">
        <v>24</v>
      </c>
      <c r="C10" s="9">
        <v>8</v>
      </c>
      <c r="D10" s="10" t="s">
        <v>44</v>
      </c>
    </row>
    <row r="11" spans="1:4" ht="20.100000000000001" customHeight="1">
      <c r="A11" s="17" t="s">
        <v>25</v>
      </c>
      <c r="C11" s="9">
        <v>9</v>
      </c>
      <c r="D11" s="10" t="s">
        <v>45</v>
      </c>
    </row>
    <row r="12" spans="1:4" ht="20.100000000000001" customHeight="1">
      <c r="A12" s="17" t="s">
        <v>26</v>
      </c>
      <c r="C12" s="9">
        <v>10</v>
      </c>
      <c r="D12" s="10" t="s">
        <v>46</v>
      </c>
    </row>
    <row r="13" spans="1:4" ht="20.100000000000001" customHeight="1">
      <c r="A13" s="17" t="s">
        <v>27</v>
      </c>
      <c r="C13" s="9">
        <v>11</v>
      </c>
      <c r="D13" s="10" t="s">
        <v>47</v>
      </c>
    </row>
    <row r="14" spans="1:4" ht="30">
      <c r="A14" s="17" t="s">
        <v>28</v>
      </c>
      <c r="C14" s="9">
        <v>12</v>
      </c>
      <c r="D14" s="10" t="s">
        <v>48</v>
      </c>
    </row>
    <row r="15" spans="1:4" ht="20.100000000000001" customHeight="1">
      <c r="A15" s="17" t="s">
        <v>29</v>
      </c>
      <c r="C15" s="9">
        <v>13</v>
      </c>
      <c r="D15" s="10" t="s">
        <v>49</v>
      </c>
    </row>
    <row r="16" spans="1:4" ht="20.100000000000001" customHeight="1">
      <c r="A16" s="17" t="s">
        <v>30</v>
      </c>
      <c r="C16" s="9">
        <v>14</v>
      </c>
      <c r="D16" s="10" t="s">
        <v>50</v>
      </c>
    </row>
    <row r="17" spans="1:1" ht="20.100000000000001" customHeight="1">
      <c r="A17" s="17" t="s">
        <v>31</v>
      </c>
    </row>
    <row r="18" spans="1:1" ht="20.100000000000001" customHeight="1">
      <c r="A18" s="17" t="s">
        <v>54</v>
      </c>
    </row>
    <row r="19" spans="1:1" ht="20.100000000000001" customHeight="1">
      <c r="A19" s="17" t="s">
        <v>32</v>
      </c>
    </row>
    <row r="20" spans="1:1" ht="20.100000000000001" customHeight="1">
      <c r="A20" s="17" t="s">
        <v>55</v>
      </c>
    </row>
    <row r="21" spans="1:1" ht="20.100000000000001" customHeight="1">
      <c r="A21" s="17" t="s">
        <v>56</v>
      </c>
    </row>
    <row r="22" spans="1:1" ht="20.100000000000001" customHeight="1">
      <c r="A22" s="17" t="s">
        <v>33</v>
      </c>
    </row>
    <row r="23" spans="1:1">
      <c r="A23" s="8"/>
    </row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Desa-BLT</vt:lpstr>
      <vt:lpstr>Petunjuk Pengisian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2020-04-17T02:57:57Z</cp:lastPrinted>
  <dcterms:created xsi:type="dcterms:W3CDTF">2020-04-14T11:16:04Z</dcterms:created>
  <dcterms:modified xsi:type="dcterms:W3CDTF">2020-05-12T04:44:40Z</dcterms:modified>
</cp:coreProperties>
</file>