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activeTab="1"/>
  </bookViews>
  <sheets>
    <sheet name="THP 1" sheetId="1" r:id="rId1"/>
    <sheet name="THP 2" sheetId="4" r:id="rId2"/>
    <sheet name="Sheet2" sheetId="2" r:id="rId3"/>
    <sheet name="Sheet3" sheetId="3" r:id="rId4"/>
  </sheets>
  <calcPr calcId="144525"/>
</workbook>
</file>

<file path=xl/calcChain.xml><?xml version="1.0" encoding="utf-8"?>
<calcChain xmlns="http://schemas.openxmlformats.org/spreadsheetml/2006/main">
  <c r="H8" i="4" l="1"/>
  <c r="H10" i="4" l="1"/>
  <c r="H9" i="4"/>
  <c r="E9" i="4"/>
  <c r="E8" i="4"/>
  <c r="E12" i="4" l="1"/>
  <c r="F12" i="4" s="1"/>
  <c r="H12" i="4"/>
  <c r="I12" i="4" s="1"/>
  <c r="E12" i="1"/>
  <c r="F12" i="1" s="1"/>
  <c r="H9" i="1"/>
  <c r="H8" i="1"/>
  <c r="H12" i="1" s="1"/>
  <c r="E9" i="1"/>
  <c r="E8" i="1"/>
  <c r="C12" i="4" l="1"/>
  <c r="I12" i="1"/>
  <c r="C12" i="1"/>
</calcChain>
</file>

<file path=xl/sharedStrings.xml><?xml version="1.0" encoding="utf-8"?>
<sst xmlns="http://schemas.openxmlformats.org/spreadsheetml/2006/main" count="28" uniqueCount="15">
  <si>
    <t>APARAT DESA</t>
  </si>
  <si>
    <t>BPD</t>
  </si>
  <si>
    <t>Sekdes</t>
  </si>
  <si>
    <t>Kaur/Kasi/Kadus</t>
  </si>
  <si>
    <t>Kepala Desa / Ketua BPD</t>
  </si>
  <si>
    <t>Sekdes /Sek.BPD /Angg.BPD</t>
  </si>
  <si>
    <t>Kaur</t>
  </si>
  <si>
    <t>Ketua</t>
  </si>
  <si>
    <t>TOTAL</t>
  </si>
  <si>
    <t>TAHAP I</t>
  </si>
  <si>
    <t>Aparat</t>
  </si>
  <si>
    <t xml:space="preserve">Wakil </t>
  </si>
  <si>
    <t>Anggota</t>
  </si>
  <si>
    <t>TAHAP III</t>
  </si>
  <si>
    <t>Kaur/kasi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</si>
</sst>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2" fillId="0" borderId="0" xfId="0" applyFont="1"/>
    <xf numFmtId="164" fontId="2" fillId="0" borderId="0" xfId="1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2" fillId="0" borderId="2" xfId="0" applyFont="1" applyBorder="1" applyAlignment="1">
      <alignment horizontal="center"/>
    </xf>
    <xf numFmtId="164" fontId="2" fillId="0" borderId="1" xfId="0" applyNumberFormat="1" applyFont="1" applyBorder="1"/>
    <xf numFmtId="43" fontId="0" fillId="2" borderId="0" xfId="0" applyNumberFormat="1" applyFill="1"/>
    <xf numFmtId="164" fontId="0" fillId="0" borderId="0" xfId="1" applyNumberFormat="1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"/>
  <sheetViews>
    <sheetView workbookViewId="0">
      <selection activeCell="C31" sqref="C31"/>
    </sheetView>
  </sheetViews>
  <sheetFormatPr defaultRowHeight="15" x14ac:dyDescent="0.25"/>
  <cols>
    <col min="2" max="2" width="27.42578125" customWidth="1"/>
    <col min="3" max="3" width="18.28515625" customWidth="1"/>
    <col min="4" max="4" width="4.85546875" customWidth="1"/>
    <col min="5" max="5" width="16.7109375" customWidth="1"/>
    <col min="6" max="6" width="15.42578125" customWidth="1"/>
    <col min="7" max="7" width="4.85546875" customWidth="1"/>
    <col min="8" max="8" width="17.28515625" customWidth="1"/>
    <col min="9" max="9" width="14.7109375" customWidth="1"/>
  </cols>
  <sheetData>
    <row r="1" spans="2:9" x14ac:dyDescent="0.25">
      <c r="E1" s="9" t="s">
        <v>9</v>
      </c>
    </row>
    <row r="2" spans="2:9" x14ac:dyDescent="0.25">
      <c r="B2" s="3" t="s">
        <v>4</v>
      </c>
      <c r="C2" s="4">
        <v>175000</v>
      </c>
      <c r="D2" s="4"/>
      <c r="E2" s="1" t="s">
        <v>10</v>
      </c>
      <c r="F2" s="2">
        <v>1850000</v>
      </c>
    </row>
    <row r="3" spans="2:9" x14ac:dyDescent="0.25">
      <c r="B3" s="3" t="s">
        <v>5</v>
      </c>
      <c r="C3" s="4">
        <v>150000</v>
      </c>
      <c r="D3" s="4"/>
      <c r="E3" s="1" t="s">
        <v>1</v>
      </c>
      <c r="F3" s="2">
        <v>600000</v>
      </c>
    </row>
    <row r="4" spans="2:9" x14ac:dyDescent="0.25">
      <c r="B4" s="3" t="s">
        <v>3</v>
      </c>
      <c r="C4" s="4">
        <v>100000</v>
      </c>
      <c r="D4" s="4"/>
    </row>
    <row r="7" spans="2:9" x14ac:dyDescent="0.25">
      <c r="C7" s="13" t="s">
        <v>0</v>
      </c>
      <c r="D7" s="13"/>
      <c r="E7" s="13"/>
      <c r="F7" s="13" t="s">
        <v>1</v>
      </c>
      <c r="G7" s="13"/>
      <c r="H7" s="13"/>
    </row>
    <row r="8" spans="2:9" x14ac:dyDescent="0.25">
      <c r="C8" t="s">
        <v>2</v>
      </c>
      <c r="D8">
        <v>3</v>
      </c>
      <c r="E8" s="6">
        <f>D8*C3</f>
        <v>450000</v>
      </c>
      <c r="F8" t="s">
        <v>7</v>
      </c>
      <c r="G8">
        <v>2</v>
      </c>
      <c r="H8" s="6">
        <f>G8*C2</f>
        <v>350000</v>
      </c>
    </row>
    <row r="9" spans="2:9" x14ac:dyDescent="0.25">
      <c r="C9" t="s">
        <v>6</v>
      </c>
      <c r="D9">
        <v>14</v>
      </c>
      <c r="E9" s="6">
        <f>D9*C4</f>
        <v>1400000</v>
      </c>
      <c r="F9" t="s">
        <v>11</v>
      </c>
      <c r="G9">
        <v>1</v>
      </c>
      <c r="H9" s="6">
        <f>G9*C3</f>
        <v>150000</v>
      </c>
    </row>
    <row r="10" spans="2:9" x14ac:dyDescent="0.25">
      <c r="E10" s="6"/>
      <c r="F10" t="s">
        <v>12</v>
      </c>
      <c r="G10">
        <v>1</v>
      </c>
      <c r="H10" s="6">
        <v>100000</v>
      </c>
    </row>
    <row r="12" spans="2:9" x14ac:dyDescent="0.25">
      <c r="B12" s="7" t="s">
        <v>8</v>
      </c>
      <c r="C12" s="8">
        <f>E12+H12</f>
        <v>2450000</v>
      </c>
      <c r="E12" s="10">
        <f>SUM(E8:E10)</f>
        <v>1850000</v>
      </c>
      <c r="F12" s="11">
        <f>E12-F2</f>
        <v>0</v>
      </c>
      <c r="H12" s="10">
        <f>SUM(H8:H10)</f>
        <v>600000</v>
      </c>
      <c r="I12" s="11">
        <f>H12-F3</f>
        <v>0</v>
      </c>
    </row>
  </sheetData>
  <mergeCells count="2">
    <mergeCell ref="C7:E7"/>
    <mergeCell ref="F7:H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"/>
  <sheetViews>
    <sheetView tabSelected="1" workbookViewId="0">
      <selection activeCell="D10" sqref="D10"/>
    </sheetView>
  </sheetViews>
  <sheetFormatPr defaultRowHeight="15" x14ac:dyDescent="0.25"/>
  <cols>
    <col min="2" max="2" width="27.42578125" customWidth="1"/>
    <col min="3" max="3" width="18.28515625" customWidth="1"/>
    <col min="4" max="4" width="4.85546875" customWidth="1"/>
    <col min="5" max="5" width="16.7109375" customWidth="1"/>
    <col min="6" max="6" width="15.42578125" customWidth="1"/>
    <col min="7" max="7" width="4.85546875" customWidth="1"/>
    <col min="8" max="8" width="17.28515625" customWidth="1"/>
    <col min="9" max="9" width="14.7109375" customWidth="1"/>
  </cols>
  <sheetData>
    <row r="1" spans="2:9" x14ac:dyDescent="0.25">
      <c r="E1" s="9" t="s">
        <v>13</v>
      </c>
    </row>
    <row r="2" spans="2:9" x14ac:dyDescent="0.25">
      <c r="B2" s="3" t="s">
        <v>4</v>
      </c>
      <c r="C2" s="4">
        <v>175000</v>
      </c>
      <c r="D2" s="4"/>
      <c r="E2" s="5" t="s">
        <v>10</v>
      </c>
      <c r="F2" s="12">
        <v>1050000</v>
      </c>
    </row>
    <row r="3" spans="2:9" x14ac:dyDescent="0.25">
      <c r="B3" s="3" t="s">
        <v>5</v>
      </c>
      <c r="C3" s="4">
        <v>150000</v>
      </c>
      <c r="D3" s="4"/>
      <c r="E3" s="5" t="s">
        <v>1</v>
      </c>
      <c r="F3" s="12">
        <v>900000</v>
      </c>
    </row>
    <row r="4" spans="2:9" x14ac:dyDescent="0.25">
      <c r="B4" s="3" t="s">
        <v>3</v>
      </c>
      <c r="C4" s="4">
        <v>100000</v>
      </c>
      <c r="D4" s="4"/>
    </row>
    <row r="7" spans="2:9" x14ac:dyDescent="0.25">
      <c r="C7" s="13" t="s">
        <v>0</v>
      </c>
      <c r="D7" s="13"/>
      <c r="E7" s="13"/>
      <c r="F7" s="13" t="s">
        <v>1</v>
      </c>
      <c r="G7" s="13"/>
      <c r="H7" s="13"/>
    </row>
    <row r="8" spans="2:9" x14ac:dyDescent="0.25">
      <c r="C8" t="s">
        <v>2</v>
      </c>
      <c r="D8">
        <v>3</v>
      </c>
      <c r="E8" s="6">
        <f>D8*C3</f>
        <v>450000</v>
      </c>
      <c r="F8" t="s">
        <v>7</v>
      </c>
      <c r="G8">
        <v>2</v>
      </c>
      <c r="H8" s="6">
        <f>G8*C2</f>
        <v>350000</v>
      </c>
    </row>
    <row r="9" spans="2:9" x14ac:dyDescent="0.25">
      <c r="C9" t="s">
        <v>14</v>
      </c>
      <c r="D9">
        <v>6</v>
      </c>
      <c r="E9" s="6">
        <f>D9*C4</f>
        <v>600000</v>
      </c>
      <c r="F9" t="s">
        <v>11</v>
      </c>
      <c r="G9">
        <v>1</v>
      </c>
      <c r="H9" s="6">
        <f>G9*C3</f>
        <v>150000</v>
      </c>
    </row>
    <row r="10" spans="2:9" x14ac:dyDescent="0.25">
      <c r="E10" s="6"/>
      <c r="F10" t="s">
        <v>12</v>
      </c>
      <c r="G10">
        <v>4</v>
      </c>
      <c r="H10" s="6">
        <f>G10*C4</f>
        <v>400000</v>
      </c>
    </row>
    <row r="12" spans="2:9" x14ac:dyDescent="0.25">
      <c r="B12" s="7" t="s">
        <v>8</v>
      </c>
      <c r="C12" s="8">
        <f>E12+H12</f>
        <v>1950000</v>
      </c>
      <c r="E12" s="10">
        <f>SUM(E8:E10)</f>
        <v>1050000</v>
      </c>
      <c r="F12" s="11">
        <f>E12-F2</f>
        <v>0</v>
      </c>
      <c r="H12" s="10">
        <f>SUM(H8:H10)</f>
        <v>900000</v>
      </c>
      <c r="I12" s="11">
        <f>H12-F3</f>
        <v>0</v>
      </c>
    </row>
  </sheetData>
  <mergeCells count="2">
    <mergeCell ref="C7:E7"/>
    <mergeCell ref="F7:H7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THP 1</vt:lpstr>
      <vt:lpstr>THP 2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2019-08-05T03:27:42Z</dcterms:created>
  <dcterms:modified xsi:type="dcterms:W3CDTF">2020-03-04T04:07:41Z</dcterms:modified>
</cp:coreProperties>
</file>